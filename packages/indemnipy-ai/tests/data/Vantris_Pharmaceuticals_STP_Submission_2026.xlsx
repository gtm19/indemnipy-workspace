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sheetId="1" state="visible" r:id="rId3"/>
    <sheet name="Claims" sheetId="2" state="visible" r:id="rId4"/>
    <sheet name="Locations" sheetId="3" state="visible" r:id="rId5"/>
    <sheet name="Sending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<sst xmlns="http://schemas.openxmlformats.org/spreadsheetml/2006/main" count="2164" uniqueCount="651">
  <si>
    <t xml:space="preserve">VANTRIS PHARMACEUTICALS LTD</t>
  </si>
  <si>
    <t xml:space="preserve">Marine Cargo &amp; Stock Throughput – Renewal Submission for 1 October 2026</t>
  </si>
  <si>
    <t xml:space="preserve">Prepared by Latterworth Marsden Ltd, 12 Fenchurch Avenue, London EC3M 5BY</t>
  </si>
  <si>
    <t xml:space="preserve">Submission reference</t>
  </si>
  <si>
    <t xml:space="preserve">LM-2026-VANT-STP-01</t>
  </si>
  <si>
    <t xml:space="preserve">Submitted to</t>
  </si>
  <si>
    <t xml:space="preserve">Meridian Bay Underwriting Ltd, Hamilton HM 11, Bermuda – FAO C. Devereux, Senior Underwriter, Marine &amp; Cargo</t>
  </si>
  <si>
    <t xml:space="preserve">Submitted by</t>
  </si>
  <si>
    <t xml:space="preserve">Jomo Okonjo, Account Executive, Latterworth Marsden Ltd – j.okonjo@latterworthmarsden.co.uk / +44 20 7946 0338</t>
  </si>
  <si>
    <t xml:space="preserve">Date of submission</t>
  </si>
  <si>
    <t xml:space="preserve">4 August 2026</t>
  </si>
  <si>
    <t xml:space="preserve">Quotes required by</t>
  </si>
  <si>
    <t xml:space="preserve">5 September 2026</t>
  </si>
  <si>
    <t xml:space="preserve">1.  THE INSURED</t>
  </si>
  <si>
    <t xml:space="preserve">Vantris Pharmaceuticals Ltd, together with all subsidiary and associated companies as may now or hereafter be constituted, including Vantris Sterile Ireland Ltd, Vantris Benelux B.V., Vantris Pharma Inc. (Delaware) and Vantris do Brasil Ltda.</t>
  </si>
  <si>
    <t xml:space="preserve">Registered office: Vantris House, Chineham Park, Basingstoke, Hampshire RG24 8AG, United Kingdom. Company number 04188221. Established 1998; listed on AIM since 2011.</t>
  </si>
  <si>
    <t xml:space="preserve">Group turnover for the year ended 31 March 2026 was USD 1.14 billion (prior year USD 986 million). Approximately 3,050 employees across nine countries. The group's principal business is the manufacture and worldwide distribution of generic and specialty pharmaceutical products.</t>
  </si>
  <si>
    <t xml:space="preserve">2.  OPERATIONS AND PRODUCTS</t>
  </si>
  <si>
    <t xml:space="preserve">The insured operates four divisions:</t>
  </si>
  <si>
    <t xml:space="preserve">•  Oral Solid Dose (approximately 48% of turnover) – generic tablets and capsules, ambient storage, manufactured at Basingstoke (UK) and Hyderabad (India, 60/40 joint venture with Sarvani Labs Pvt Ltd).</t>
  </si>
  <si>
    <t xml:space="preserve">•  Sterile Injectables (approximately 27%) – small volume parenterals, pre-filled syringes and lyophilised vials, manufactured at Cork, Ireland. Predominantly 2–8°C or ambient depending on presentation.</t>
  </si>
  <si>
    <t xml:space="preserve">•  Biologics / Cold Chain (approximately 18%) – the monoclonal antibody biosimilar VELCARIN® (adalimumab-vtrs) and two further biosimilars in launch phase. Bulk drug substance is shipped frozen at –70°C; finished product is 2–8°C. This is the highest-value, lowest-volume part of the portfolio and drives the temperature-related exposure.</t>
  </si>
  <si>
    <t xml:space="preserve">•  Consumer &amp; Dermatology (approximately 7%) – OTC creams, ointments and medicated shampoos, ambient, packed and distributed from Guarulhos, Brazil and Wrexham, UK.</t>
  </si>
  <si>
    <t xml:space="preserve">No controlled drugs of Schedule 1 or 2 are manufactured or held. Schedule 3–5 products (approximately 4% of stock value) are held in secure cages at Wrexham and Venlo only. No cytotoxics, no live vaccines, no radiopharmaceuticals.</t>
  </si>
  <si>
    <t xml:space="preserve">3.  SUPPLY CHAIN AND TRANSIT</t>
  </si>
  <si>
    <t xml:space="preserve">Estimated annual sendings for the 2026/27 period are USD 1,285,000,000 on an insured-value basis (cost plus 10% plus freight and duty where applicable). This compares with USD 1,142,000,000 declared for the expiring period. The increase reflects the VELCARIN® launch in the United States and Japan.</t>
  </si>
  <si>
    <t xml:space="preserve">Split by conveyance, by value: air freight 41%, containerised sea freight 33%, road / groupage 19%, temperature-controlled courier (small parcel, validated shippers) 7%. Bulk drug substance moves exclusively by air on dry ice or in Cryoport-type dewars; no bulk substance is moved by sea.</t>
  </si>
  <si>
    <t xml:space="preserve">Principal freight forwarders are Kuehne Delta Logistics (air, 54% of air volume), Marchetti Global Forwarding (sea and road, Europe), and CryoLane Speciality Logistics (validated cold chain, all modes). All contracts are on standard BIFA / FIATA trading conditions; no contractual waiver of subrogation has been given other than to CryoLane in respect of loss of temperature data logger equipment only.</t>
  </si>
  <si>
    <t xml:space="preserve">The Sendings tab of this workbook is a representative extract of 120 individual movements recorded in the twelve months ended 30 June 2026, with a combined insured value of USD 93.1 million. It was taken from the insured's SAP EWM system on 28 July 2026. The full transit register for the period runs to approximately 9,400 movements; the extract is provided so that underwriters can see the typical lanes, packing, temperature regimes and individual values. Intra-site transfers below USD 25,000 and returns and recalls are excluded from both figures.</t>
  </si>
  <si>
    <t xml:space="preserve">4.  STORAGE LOCATIONS</t>
  </si>
  <si>
    <t xml:space="preserve">The Locations tab schedules the 32 premises at which the insured has an interest in stock, being nine sites operated by the group (of which Felixstowe is a leased bonded store and Hyderabad is a joint venture) and twenty-three third-party logistics providers. Values are declared as maximum stock at risk and 12-month average stock at risk, both at selling price less unearned profit, as required by the expiring wording.</t>
  </si>
  <si>
    <t xml:space="preserve">Total declared maximum stock at risk across all locations is USD 400.5 million; total average stock at risk is USD 242.0 million. The single largest accumulation is the Wrexham distribution centre at USD 61.4 million maximum, which includes the European launch stock of VELCARIN® held in the validated 2–8°C chambers.</t>
  </si>
  <si>
    <t xml:space="preserve">All wholly-owned sites are fully sprinklered to FM Global standards and have 24-hour manned security with CCTV and intruder alarm signalling to a central station. Of the third-party sites, four (3PL-11, 3PL-14, 3PL-19 and 3PL-22) are not sprinklered; these are noted on the Locations tab and the insured has capped the value held at each. Cold chain sites have N+1 refrigeration plant, standby generation of at least 72 hours and continuous temperature monitoring with out-of-hours alarm escalation.</t>
  </si>
  <si>
    <t xml:space="preserve">5.  RISK MANAGEMENT</t>
  </si>
  <si>
    <t xml:space="preserve">The insured appointed a Group Head of Logistics Risk in January 2025 following the 2024 temperature deviation losses. Since then: all cold chain lanes have been re-qualified to a 96-hour excursion tolerance; single-use validated shippers have replaced passive coolboxes on all US and Japanese lanes; dual data loggers (one carrier-owned, one insured-owned) are now fitted to every 2–8°C consignment above USD 250,000; and no air consignment may exceed USD 8 million in value without written authorisation from the Group Head of Logistics Risk.</t>
  </si>
  <si>
    <t xml:space="preserve">TAPA FSR Level A certification is held at Wrexham, Venlo and Memphis. Nominated carriers must hold TAPA TSR Level 2 or equivalent for any consignment exceeding USD 1 million. Overnight parking is restricted to pre-approved secure parks; a list is available on request.</t>
  </si>
  <si>
    <t xml:space="preserve">6.  COVER REQUIRED</t>
  </si>
  <si>
    <t xml:space="preserve">Marine Cargo and Stock Throughput on a worldwide basis, incepting 1 October 2026 for twelve months, covering the insured's goods and merchandise from the point at which the insured assumes risk (including raw materials and drug substance purchased from third parties) until final delivery to the customer, including all intermediate storage.</t>
  </si>
  <si>
    <t xml:space="preserve">Basis of valuation: raw materials and components at replacement cost; work in progress at cost of materials plus labour and overhead incurred; finished goods at selling price less unearned profit; goods sold at invoice value plus 10%.</t>
  </si>
  <si>
    <t xml:space="preserve">Limit any one conveyance (sea / road)</t>
  </si>
  <si>
    <t xml:space="preserve">USD 15,000,000</t>
  </si>
  <si>
    <t xml:space="preserve">Limit any one conveyance (air)</t>
  </si>
  <si>
    <t xml:space="preserve">USD 8,000,000</t>
  </si>
  <si>
    <t xml:space="preserve">Limit any one aircraft / accumulation at airport</t>
  </si>
  <si>
    <t xml:space="preserve">Limit any one storage location</t>
  </si>
  <si>
    <t xml:space="preserve">USD 65,000,000 (per schedule, plus 25% margin clause)</t>
  </si>
  <si>
    <t xml:space="preserve">Sub-limit – temperature deviation / refrigeration breakdown</t>
  </si>
  <si>
    <t xml:space="preserve">USD 10,000,000 any one loss</t>
  </si>
  <si>
    <t xml:space="preserve">Sub-limit – rejection and destruction by public authority</t>
  </si>
  <si>
    <t xml:space="preserve">USD 2,500,000 any one loss</t>
  </si>
  <si>
    <t xml:space="preserve">Sub-limit – duty and increased value</t>
  </si>
  <si>
    <t xml:space="preserve">USD 5,000,000 any one loss</t>
  </si>
  <si>
    <t xml:space="preserve">Sub-limit – debris removal and controlled destruction</t>
  </si>
  <si>
    <t xml:space="preserve">USD 1,000,000 any one loss</t>
  </si>
  <si>
    <t xml:space="preserve">Sub-limit – exhibition, samples and clinical trial material</t>
  </si>
  <si>
    <t xml:space="preserve">USD 750,000 any one loss</t>
  </si>
  <si>
    <t xml:space="preserve">Deductible – each and every loss, transit</t>
  </si>
  <si>
    <t xml:space="preserve">USD 25,000</t>
  </si>
  <si>
    <t xml:space="preserve">Deductible – temperature deviation</t>
  </si>
  <si>
    <t xml:space="preserve">USD 100,000</t>
  </si>
  <si>
    <t xml:space="preserve">Deductible – theft or non-delivery in transit</t>
  </si>
  <si>
    <t xml:space="preserve">USD 50,000</t>
  </si>
  <si>
    <t xml:space="preserve">Deductible – storage locations</t>
  </si>
  <si>
    <t xml:space="preserve">USD 25,000, save USD 250,000 for named windstorm and flood</t>
  </si>
  <si>
    <t xml:space="preserve">7.  CONDITIONS REQUESTED</t>
  </si>
  <si>
    <t xml:space="preserve">Institute Cargo Clauses (A) 1/1/09; Institute War Clauses (Cargo) 1/1/09; Institute Strikes Clauses (Cargo) 1/1/09; Institute Cargo Clauses (Air) excluding sendings by post; Institute Classification Clause; Temperature Control Endorsement (96 hours, including breakdown of refrigerating machinery and failure of passive packaging); Brands and Labels Clause; Control of Damaged Goods Clause; Sellers Interest; Difference in Conditions and Limits; 50/50 Clause; Concealed Damage Clause (30 days); Warehouse to Warehouse; Deliberate Damage – Pollution Hazard; Cancellation 30 days except 7 days for war and strikes risks.</t>
  </si>
  <si>
    <t xml:space="preserve">Exclusions noted and accepted: LMA5403 Marine Cyber Endorsement; LMA3100 Sanctions Limitation and Exclusion; Institute Radioactive Contamination, Chemical, Biological, Bio-chemical and Electromagnetic Weapons Exclusion Clause (RACE); Communicable Disease Exclusion (LMA5395) other than where resulting from a physical loss otherwise covered.</t>
  </si>
  <si>
    <t xml:space="preserve">8.  EXPIRING PROGRAMME</t>
  </si>
  <si>
    <t xml:space="preserve">Expiring insurer: Northgate Marine, Syndicate 2291 at Lloyd's, 100% line. Expiring premium USD 1,180,000 net of taxes, written on a rate of 0.1033% applied to declared sendings, plus a stock throughput adjustment premium of USD 214,000. The insured is seeking terms on the same basis but would consider a fixed annual premium with a 20% swing clause.</t>
  </si>
  <si>
    <t xml:space="preserve">9.  ATTACHMENTS AND OTHER TABS</t>
  </si>
  <si>
    <t xml:space="preserve">Claims – five-year loss record as supplied by Northgate Marine and reconciled to the insured's own register. Please note the loss record is presented as received; the header block above the data records the valuation date.</t>
  </si>
  <si>
    <t xml:space="preserve">Locations – schedule of 32 storage locations with maximum and average values.</t>
  </si>
  <si>
    <t xml:space="preserve">Sendings – schedule of movements for the twelve months to 30 June 2026.</t>
  </si>
  <si>
    <t xml:space="preserve">Embedded on the Claims tab is a PDF copy of the insured's notification e-mail for claim CLM-2024-0316 (the Frankfurt temperature deviation), which underwriters asked to see at the last renewal meeting. Double-click the icon to open it.</t>
  </si>
  <si>
    <t xml:space="preserve">This submission and its attachments are provided in confidence for the purpose of obtaining terms. All figures are the insured's own unless otherwise stated. Latterworth Marsden Ltd is authorised and regulated by the Financial Conduct Authority, FRN 310884.</t>
  </si>
  <si>
    <t xml:space="preserve">VANTRIS PHARMACEUTICALS LTD – CONSOLIDATED LOSS RECORD</t>
  </si>
  <si>
    <t xml:space="preserve">Marine Cargo &amp; Stock Throughput, all territories</t>
  </si>
  <si>
    <t xml:space="preserve">Produced by:</t>
  </si>
  <si>
    <t xml:space="preserve">Latterworth Marsden Ltd (claims data supplied by Northgate Marine, Syndicate 2291)</t>
  </si>
  <si>
    <t xml:space="preserve">Report run date:</t>
  </si>
  <si>
    <t xml:space="preserve">Claims valued as at:</t>
  </si>
  <si>
    <t xml:space="preserve">Period covered:</t>
  </si>
  <si>
    <t xml:space="preserve">1 October 2021 to 30 September 2026 (five policy years, current year part-expired)</t>
  </si>
  <si>
    <t xml:space="preserve">Currency:</t>
  </si>
  <si>
    <t xml:space="preserve">United States Dollars unless shown otherwise in the Notes column</t>
  </si>
  <si>
    <t xml:space="preserve">Prepared for:</t>
  </si>
  <si>
    <t xml:space="preserve">Meridian Bay Underwriting Ltd – renewal quotation 1 October 2026</t>
  </si>
  <si>
    <t xml:space="preserve">Claim Reference</t>
  </si>
  <si>
    <t xml:space="preserve">Date of Loss
(dd/mm/yyyy)</t>
  </si>
  <si>
    <t xml:space="preserve">Policy Year
(1 Oct – 30 Sep)</t>
  </si>
  <si>
    <t xml:space="preserve">Insured's Description of Loss</t>
  </si>
  <si>
    <t xml:space="preserve">Cause of Loss / Peril</t>
  </si>
  <si>
    <t xml:space="preserve">Location or Voyage</t>
  </si>
  <si>
    <t xml:space="preserve">Mode of Transit</t>
  </si>
  <si>
    <t xml:space="preserve">Paid to Date
($)</t>
  </si>
  <si>
    <t xml:space="preserve">Reserve Outstanding
($)</t>
  </si>
  <si>
    <t xml:space="preserve">Total Incurred
($)</t>
  </si>
  <si>
    <t xml:space="preserve">Claim Status</t>
  </si>
  <si>
    <t xml:space="preserve">Adjuster / Notes</t>
  </si>
  <si>
    <t xml:space="preserve">CLM-2021-0148</t>
  </si>
  <si>
    <t xml:space="preserve">2021/22</t>
  </si>
  <si>
    <t xml:space="preserve">Two pallets of amoxicillin 500mg capsules crushed when a forklift struck the racking during unloading at the 3PL.</t>
  </si>
  <si>
    <t xml:space="preserve">Handling damage</t>
  </si>
  <si>
    <t xml:space="preserve">Venlo, Netherlands (3PL-04)</t>
  </si>
  <si>
    <t xml:space="preserve">Road</t>
  </si>
  <si>
    <t xml:space="preserve">Closed</t>
  </si>
  <si>
    <t xml:space="preserve">Cunningham Loss Adjusters. Recovery of $11,000 received from 3PL insurer, netted off.</t>
  </si>
  <si>
    <t xml:space="preserve">CLM-2021-0203</t>
  </si>
  <si>
    <t xml:space="preserve">Container CBHU4471902 lost overboard MV Nordic Bellamy in heavy weather, Bay of Biscay. Total loss of contents.</t>
  </si>
  <si>
    <t xml:space="preserve">Perils of the sea</t>
  </si>
  <si>
    <t xml:space="preserve">Cork to Newark, voyage 2022-004</t>
  </si>
  <si>
    <t xml:space="preserve">Sea</t>
  </si>
  <si>
    <t xml:space="preserve">General average declared and settled. Salvage nil.</t>
  </si>
  <si>
    <t xml:space="preserve">CLM-2022-0026</t>
  </si>
  <si>
    <t xml:space="preserve">Theft of part load from unattended vehicle at motorway services. 14 cartons of dermatology product taken.</t>
  </si>
  <si>
    <t xml:space="preserve">Theft in transit</t>
  </si>
  <si>
    <t xml:space="preserve">M6 Junction 15, United Kingdom</t>
  </si>
  <si>
    <t xml:space="preserve">Police ref WM/22/44871. No recovery. Deductible applied.</t>
  </si>
  <si>
    <t xml:space="preserve">CLM-2022-0091</t>
  </si>
  <si>
    <t xml:space="preserve">Water damage to cartons stored below a failed sprinkler joint. 9 pallets condemned by QA.</t>
  </si>
  <si>
    <t xml:space="preserve">Escape of water</t>
  </si>
  <si>
    <t xml:space="preserve">Wrexham DC, United Kingdom</t>
  </si>
  <si>
    <t xml:space="preserve">Storage</t>
  </si>
  <si>
    <t xml:space="preserve">Cunningham. Sprinkler joint replaced across the site.</t>
  </si>
  <si>
    <t xml:space="preserve">CLM-2022-0187</t>
  </si>
  <si>
    <t xml:space="preserve">Shortage on delivery – 3 cartons of injectable product not received. Believed misrouted at hub.</t>
  </si>
  <si>
    <t xml:space="preserve">Non-delivery / shortage</t>
  </si>
  <si>
    <t xml:space="preserve">Basingstoke to Singapore</t>
  </si>
  <si>
    <t xml:space="preserve">Air</t>
  </si>
  <si>
    <t xml:space="preserve">Below deductible after adjustment; closed nil to insurers.</t>
  </si>
  <si>
    <t xml:space="preserve">CLM-2022-0244</t>
  </si>
  <si>
    <t xml:space="preserve">2022/23</t>
  </si>
  <si>
    <t xml:space="preserve">Temperature excursion on a 2–8°C consignment; data logger recorded 14.6°C for 31 hours after cool box failure.</t>
  </si>
  <si>
    <t xml:space="preserve">Temperature deviation</t>
  </si>
  <si>
    <t xml:space="preserve">Cork to Chicago O'Hare</t>
  </si>
  <si>
    <t xml:space="preserve">QA condemned full consignment. Passive shipper design changed as a result.</t>
  </si>
  <si>
    <t xml:space="preserve">CLM-2023-0018</t>
  </si>
  <si>
    <t xml:space="preserve">Fire in adjacent unit spread to the demised area; smoke and heat damage to ambient stock.</t>
  </si>
  <si>
    <t xml:space="preserve">Fire</t>
  </si>
  <si>
    <t xml:space="preserve">Guarulhos, Brazil (3PL-17)</t>
  </si>
  <si>
    <t xml:space="preserve">Charles Taylor. Settled 100%. 3PL now sprinklered.</t>
  </si>
  <si>
    <t xml:space="preserve">CLM-2023-0055</t>
  </si>
  <si>
    <t xml:space="preserve">Pallet of raw material drums punctured by handling equipment; contamination risk, batch rejected.</t>
  </si>
  <si>
    <t xml:space="preserve">Hyderabad to Cork</t>
  </si>
  <si>
    <t xml:space="preserve">Recovery pursued against terminal operator, unsuccessful.</t>
  </si>
  <si>
    <t xml:space="preserve">CLM-2023-0112</t>
  </si>
  <si>
    <t xml:space="preserve">Road traffic accident, vehicle overturned. Total loss of trailer contents.</t>
  </si>
  <si>
    <t xml:space="preserve">Collision / overturning</t>
  </si>
  <si>
    <t xml:space="preserve">A61 near Ravensburg, Germany</t>
  </si>
  <si>
    <t xml:space="preserve">Carrier liability capped under CMR; $18,400 recovered.</t>
  </si>
  <si>
    <t xml:space="preserve">CLM-2023-0166</t>
  </si>
  <si>
    <t xml:space="preserve">Sept 2023 (exact date unknown)</t>
  </si>
  <si>
    <t xml:space="preserve">Cartons found wet on arrival, origin of water ingress not established. Loss reported late by consignee.</t>
  </si>
  <si>
    <t xml:space="preserve">Wet damage – cause unknown</t>
  </si>
  <si>
    <t xml:space="preserve">Venlo to Dublin</t>
  </si>
  <si>
    <t xml:space="preserve">Date of loss not established – recorded by insured as 'September 2023, exact date unknown'. Notified 11/12/2023.</t>
  </si>
  <si>
    <t xml:space="preserve">CLM-2023-0201</t>
  </si>
  <si>
    <t xml:space="preserve">2023/24</t>
  </si>
  <si>
    <t xml:space="preserve">Refrigeration plant failure at 3PL over a weekend; 2–8°C chamber reached 19°C. Whole chamber quarantined.</t>
  </si>
  <si>
    <t xml:space="preserve">Refrigeration breakdown</t>
  </si>
  <si>
    <t xml:space="preserve">Memphis TN, United States</t>
  </si>
  <si>
    <t xml:space="preserve">Charles Taylor. Largest loss in the period. Standby generation subsequently installed by 3PL.</t>
  </si>
  <si>
    <t xml:space="preserve">CLM-2024-0037</t>
  </si>
  <si>
    <t xml:space="preserve">Hijack of vehicle at gunpoint; complete load of OTC dermatology product stolen.</t>
  </si>
  <si>
    <t xml:space="preserve">Hijack / theft</t>
  </si>
  <si>
    <t xml:space="preserve">BR-116 near São Paulo, Brazil</t>
  </si>
  <si>
    <t xml:space="preserve">No recovery. Secure parking protocol introduced for Brazil.</t>
  </si>
  <si>
    <t xml:space="preserve">CLM-2024-0102</t>
  </si>
  <si>
    <t xml:space="preserve">Bulk drug substance dewar failed to maintain –70°C; shipment arrived at –48°C, out of specification.</t>
  </si>
  <si>
    <t xml:space="preserve">Cork to Tokyo Narita</t>
  </si>
  <si>
    <t xml:space="preserve">Dewar supplier contribution of $95,000 received and netted off.</t>
  </si>
  <si>
    <t xml:space="preserve">CLM-2024-0198</t>
  </si>
  <si>
    <t xml:space="preserve">Flood water entered ground floor of 3PL following flash flooding; 22 pallets destroyed.</t>
  </si>
  <si>
    <t xml:space="preserve">Flood</t>
  </si>
  <si>
    <t xml:space="preserve">Wrexham, United Kingdom (overflow store)</t>
  </si>
  <si>
    <t xml:space="preserve">Cunningham. Overflow store no longer used for finished goods.</t>
  </si>
  <si>
    <t xml:space="preserve">CLM-2024-0316</t>
  </si>
  <si>
    <t xml:space="preserve">Consignment held airside in ambient conditions for 41 hours due to a customs documentation error; temperature excursion confirmed on both loggers.</t>
  </si>
  <si>
    <t xml:space="preserve">Frankfurt Airport, Germany</t>
  </si>
  <si>
    <t xml:space="preserve">See notification e-mail attached to this workbook. Broker's file LM/CLM/24/0316.</t>
  </si>
  <si>
    <t xml:space="preserve">CLM-2025-0044</t>
  </si>
  <si>
    <t xml:space="preserve">2024/25</t>
  </si>
  <si>
    <t xml:space="preserve">Crushing damage to 6 pallets, top-loading in a groupage trailer contrary to instructions.</t>
  </si>
  <si>
    <t xml:space="preserve">Basingstoke to Madrid</t>
  </si>
  <si>
    <t xml:space="preserve">Recovery of $22,000 agreed with forwarder.</t>
  </si>
  <si>
    <t xml:space="preserve">CLM-2025-0121</t>
  </si>
  <si>
    <t xml:space="preserve">Container rolled at transhipment and stood on quay for 9 days in high ambient temperatures; stability data insufficient, batch rejected.</t>
  </si>
  <si>
    <t xml:space="preserve">Delay / rejection</t>
  </si>
  <si>
    <t xml:space="preserve">Singapore transhipment, to Sydney</t>
  </si>
  <si>
    <t xml:space="preserve">Rejection of goods sub-limit engaged. Adjuster: Charles Taylor.</t>
  </si>
  <si>
    <t xml:space="preserve">CLM-2025-0208</t>
  </si>
  <si>
    <t xml:space="preserve">Pilferage from a part-load; 3 cartons of high-value injectable missing on delivery, seals intact.</t>
  </si>
  <si>
    <t xml:space="preserve">Pilferage</t>
  </si>
  <si>
    <t xml:space="preserve">Venlo to Warsaw</t>
  </si>
  <si>
    <t xml:space="preserve">Below deductible; closed nil to insurers. Retained by insured.</t>
  </si>
  <si>
    <t xml:space="preserve">CLM-2025-0287</t>
  </si>
  <si>
    <t xml:space="preserve">2025/26</t>
  </si>
  <si>
    <t xml:space="preserve">Impact damage when a straddle carrier dropped the container at the terminal.</t>
  </si>
  <si>
    <t xml:space="preserve">Port of Rotterdam, Netherlands</t>
  </si>
  <si>
    <t xml:space="preserve">Open</t>
  </si>
  <si>
    <t xml:space="preserve">Recovery against terminal operator in progress. Reserve is broker's estimate.</t>
  </si>
  <si>
    <t xml:space="preserve">CLM-2026-0019</t>
  </si>
  <si>
    <t xml:space="preserve">Cold chain courier vehicle broke down; 2–8°C parcels exceeded 25°C for approximately 9 hours before rescue.</t>
  </si>
  <si>
    <t xml:space="preserve">Lyon to Geneva</t>
  </si>
  <si>
    <t xml:space="preserve">Awaiting QA stability assessment. Reserve may reduce.</t>
  </si>
  <si>
    <t xml:space="preserve">CLM-2026-0055</t>
  </si>
  <si>
    <t xml:space="preserve">Theft of an entire trailer from a non-approved overnight park.</t>
  </si>
  <si>
    <t xml:space="preserve">Milan ring road, Italy</t>
  </si>
  <si>
    <t xml:space="preserve">Carrier in breach of contract; subrogated recovery being pursued. Amounts originally advised in EUR (EUR 252,300 total incurred), converted at 1.086.</t>
  </si>
  <si>
    <t xml:space="preserve">CLM-2026-0071</t>
  </si>
  <si>
    <t xml:space="preserve">Racking collapse in the bonded warehouse; stock damaged and quarantined pending QA review.</t>
  </si>
  <si>
    <t xml:space="preserve">Collapse of racking</t>
  </si>
  <si>
    <t xml:space="preserve">Felixstowe bonded store, United Kingdom</t>
  </si>
  <si>
    <t xml:space="preserve">Adjuster appointed 03/07/2026. First advice only – figures to be firmed up.</t>
  </si>
  <si>
    <t xml:space="preserve">TOTAL</t>
  </si>
  <si>
    <t xml:space="preserve">22 claims recorded in the period</t>
  </si>
  <si>
    <t xml:space="preserve">Notes:</t>
  </si>
  <si>
    <t xml:space="preserve">1.  Amounts shown are gross of deductible and net of any recovery received to the valuation date.</t>
  </si>
  <si>
    <t xml:space="preserve">2.  Claims marked Open carry a reserve set by the adjuster except where the Notes column states otherwise.</t>
  </si>
  <si>
    <t xml:space="preserve">3.  The 2025/26 policy year is part expired; incurred but not reported development should be allowed for.</t>
  </si>
  <si>
    <t xml:space="preserve">4.  Claim CLM-2026-0055 was advised in euro and has been converted at the rate ruling on the date of loss.</t>
  </si>
  <si>
    <t xml:space="preserve">Location ID</t>
  </si>
  <si>
    <t xml:space="preserve">Site Name</t>
  </si>
  <si>
    <t xml:space="preserve">Address</t>
  </si>
  <si>
    <t xml:space="preserve">City</t>
  </si>
  <si>
    <t xml:space="preserve">Country</t>
  </si>
  <si>
    <t xml:space="preserve">Region</t>
  </si>
  <si>
    <t xml:space="preserve">Occupancy</t>
  </si>
  <si>
    <t xml:space="preserve">Ownership</t>
  </si>
  <si>
    <t xml:space="preserve">Temperature Regime</t>
  </si>
  <si>
    <t xml:space="preserve">Sprinklered</t>
  </si>
  <si>
    <t xml:space="preserve">Maximum Stock Value (USD)</t>
  </si>
  <si>
    <t xml:space="preserve">Average Stock Value (USD)</t>
  </si>
  <si>
    <t xml:space="preserve">Peak Month</t>
  </si>
  <si>
    <t xml:space="preserve">Flood Zone</t>
  </si>
  <si>
    <t xml:space="preserve">Notes</t>
  </si>
  <si>
    <t xml:space="preserve">LOC-001</t>
  </si>
  <si>
    <t xml:space="preserve">Vantris Basingstoke</t>
  </si>
  <si>
    <t xml:space="preserve">Vantris House, Chineham Park</t>
  </si>
  <si>
    <t xml:space="preserve">Basingstoke</t>
  </si>
  <si>
    <t xml:space="preserve">United Kingdom</t>
  </si>
  <si>
    <t xml:space="preserve">Europe</t>
  </si>
  <si>
    <t xml:space="preserve">Manufacturing &amp; warehouse</t>
  </si>
  <si>
    <t xml:space="preserve">Owned</t>
  </si>
  <si>
    <t xml:space="preserve">Ambient 15-25C</t>
  </si>
  <si>
    <t xml:space="preserve">Yes</t>
  </si>
  <si>
    <t xml:space="preserve">March</t>
  </si>
  <si>
    <t xml:space="preserve">Zone 1 (low)</t>
  </si>
  <si>
    <t xml:space="preserve">Head office and OSD manufacturing</t>
  </si>
  <si>
    <t xml:space="preserve">LOC-002</t>
  </si>
  <si>
    <t xml:space="preserve">Vantris Wrexham DC</t>
  </si>
  <si>
    <t xml:space="preserve">Unit 4, Wrexham Industrial Estate</t>
  </si>
  <si>
    <t xml:space="preserve">Wrexham</t>
  </si>
  <si>
    <t xml:space="preserve">Distribution centre</t>
  </si>
  <si>
    <t xml:space="preserve">Ambient and 2-8C</t>
  </si>
  <si>
    <t xml:space="preserve">September</t>
  </si>
  <si>
    <t xml:space="preserve">Zone 2 (medium)</t>
  </si>
  <si>
    <t xml:space="preserve">Largest single accumulation. Includes VELCARIN European launch stock</t>
  </si>
  <si>
    <t xml:space="preserve">LOC-003</t>
  </si>
  <si>
    <t xml:space="preserve">Vantris Sterile Ireland</t>
  </si>
  <si>
    <t xml:space="preserve">Little Island Industrial Park</t>
  </si>
  <si>
    <t xml:space="preserve">Cork</t>
  </si>
  <si>
    <t xml:space="preserve">Ireland</t>
  </si>
  <si>
    <t xml:space="preserve">June</t>
  </si>
  <si>
    <t xml:space="preserve">Sterile injectables and biologics fill-finish</t>
  </si>
  <si>
    <t xml:space="preserve">LOC-004</t>
  </si>
  <si>
    <t xml:space="preserve">Vantris Benelux DC</t>
  </si>
  <si>
    <t xml:space="preserve">Ravensbos 22, Trade Port Noord</t>
  </si>
  <si>
    <t xml:space="preserve">Venlo</t>
  </si>
  <si>
    <t xml:space="preserve">Netherlands</t>
  </si>
  <si>
    <t xml:space="preserve">October</t>
  </si>
  <si>
    <t xml:space="preserve">TAPA FSR Level A. Controlled drug cage</t>
  </si>
  <si>
    <t xml:space="preserve">LOC-005</t>
  </si>
  <si>
    <t xml:space="preserve">Vantris Pharma Inc DC</t>
  </si>
  <si>
    <t xml:space="preserve">3820 Airways Boulevard</t>
  </si>
  <si>
    <t xml:space="preserve">Memphis</t>
  </si>
  <si>
    <t xml:space="preserve">United States</t>
  </si>
  <si>
    <t xml:space="preserve">Americas</t>
  </si>
  <si>
    <t xml:space="preserve">November</t>
  </si>
  <si>
    <t xml:space="preserve">Standby generation installed 2024 after CLM-2023-0201</t>
  </si>
  <si>
    <t xml:space="preserve">LOC-006</t>
  </si>
  <si>
    <t xml:space="preserve">Vantris do Brasil</t>
  </si>
  <si>
    <t xml:space="preserve">Rodovia Presidente Dutra km 225</t>
  </si>
  <si>
    <t xml:space="preserve">Guarulhos</t>
  </si>
  <si>
    <t xml:space="preserve">Brazil</t>
  </si>
  <si>
    <t xml:space="preserve">Packaging &amp; warehouse</t>
  </si>
  <si>
    <t xml:space="preserve">Ambient 15-30C</t>
  </si>
  <si>
    <t xml:space="preserve">December</t>
  </si>
  <si>
    <t xml:space="preserve">Consumer and dermatology packing</t>
  </si>
  <si>
    <t xml:space="preserve">LOC-007</t>
  </si>
  <si>
    <t xml:space="preserve">Sarvani Labs (JV site)</t>
  </si>
  <si>
    <t xml:space="preserve">Plot 44, Genome Valley, Shameerpet</t>
  </si>
  <si>
    <t xml:space="preserve">Hyderabad</t>
  </si>
  <si>
    <t xml:space="preserve">India</t>
  </si>
  <si>
    <t xml:space="preserve">Asia Pacific</t>
  </si>
  <si>
    <t xml:space="preserve">Joint venture</t>
  </si>
  <si>
    <t xml:space="preserve">February</t>
  </si>
  <si>
    <t xml:space="preserve">60/40 JV. Insured interest in stock only</t>
  </si>
  <si>
    <t xml:space="preserve">LOC-008</t>
  </si>
  <si>
    <t xml:space="preserve">Felixstowe Bonded Store</t>
  </si>
  <si>
    <t xml:space="preserve">Dock Road, Port of Felixstowe</t>
  </si>
  <si>
    <t xml:space="preserve">Felixstowe</t>
  </si>
  <si>
    <t xml:space="preserve">Bonded warehouse</t>
  </si>
  <si>
    <t xml:space="preserve">Leased</t>
  </si>
  <si>
    <t xml:space="preserve">August</t>
  </si>
  <si>
    <t xml:space="preserve">Zone 3 (high)</t>
  </si>
  <si>
    <t xml:space="preserve">Coastal. Bonded and duty-suspended goods</t>
  </si>
  <si>
    <t xml:space="preserve">LOC-009</t>
  </si>
  <si>
    <t xml:space="preserve">Vantris Singapore Hub</t>
  </si>
  <si>
    <t xml:space="preserve">31 Airport Boulevard, Changi</t>
  </si>
  <si>
    <t xml:space="preserve">Singapore</t>
  </si>
  <si>
    <t xml:space="preserve">May</t>
  </si>
  <si>
    <t xml:space="preserve">Asia Pacific regional hub</t>
  </si>
  <si>
    <t xml:space="preserve">3PL-01</t>
  </si>
  <si>
    <t xml:space="preserve">Kuehne Delta Frankfurt</t>
  </si>
  <si>
    <t xml:space="preserve">Cargo City Sud, Gebaude 553</t>
  </si>
  <si>
    <t xml:space="preserve">Frankfurt</t>
  </si>
  <si>
    <t xml:space="preserve">Germany</t>
  </si>
  <si>
    <t xml:space="preserve">Airfreight transit shed</t>
  </si>
  <si>
    <t xml:space="preserve">Third party</t>
  </si>
  <si>
    <t xml:space="preserve">July</t>
  </si>
  <si>
    <t xml:space="preserve">Transit only, values in and out same week</t>
  </si>
  <si>
    <t xml:space="preserve">3PL-02</t>
  </si>
  <si>
    <t xml:space="preserve">Kuehne Delta Chicago</t>
  </si>
  <si>
    <t xml:space="preserve">1150 Devon Avenue</t>
  </si>
  <si>
    <t xml:space="preserve">Elk Grove Village</t>
  </si>
  <si>
    <t xml:space="preserve">Transit only</t>
  </si>
  <si>
    <t xml:space="preserve">3PL-03</t>
  </si>
  <si>
    <t xml:space="preserve">Marchetti Rotterdam</t>
  </si>
  <si>
    <t xml:space="preserve">Distripark Maasvlakte, Aziehaven 12</t>
  </si>
  <si>
    <t xml:space="preserve">Rotterdam</t>
  </si>
  <si>
    <t xml:space="preserve">Warehouse</t>
  </si>
  <si>
    <t xml:space="preserve">Below sea level. Flood defences to Delta standard</t>
  </si>
  <si>
    <t xml:space="preserve">3PL-04</t>
  </si>
  <si>
    <t xml:space="preserve">Marchetti Venlo Overflow</t>
  </si>
  <si>
    <t xml:space="preserve">Celsiusweg 8</t>
  </si>
  <si>
    <t xml:space="preserve">Overflow for LOC-004</t>
  </si>
  <si>
    <t xml:space="preserve">3PL-05</t>
  </si>
  <si>
    <t xml:space="preserve">CryoLane Dublin</t>
  </si>
  <si>
    <t xml:space="preserve">Unit 7, Horizon Logistics Park</t>
  </si>
  <si>
    <t xml:space="preserve">Dublin</t>
  </si>
  <si>
    <t xml:space="preserve">Cold store</t>
  </si>
  <si>
    <t xml:space="preserve">2-8C and -20C</t>
  </si>
  <si>
    <t xml:space="preserve">Validated cold chain, N+1 plant</t>
  </si>
  <si>
    <t xml:space="preserve">3PL-06</t>
  </si>
  <si>
    <t xml:space="preserve">CryoLane Philadelphia</t>
  </si>
  <si>
    <t xml:space="preserve">500 Cabot Boulevard</t>
  </si>
  <si>
    <t xml:space="preserve">Langhorne</t>
  </si>
  <si>
    <t xml:space="preserve">2-8C and -70C</t>
  </si>
  <si>
    <t xml:space="preserve">Holds frozen drug substance</t>
  </si>
  <si>
    <t xml:space="preserve">3PL-07</t>
  </si>
  <si>
    <t xml:space="preserve">Nippon Sanwa Logistics</t>
  </si>
  <si>
    <t xml:space="preserve">3-1-1 Heiwajima, Ota-ku</t>
  </si>
  <si>
    <t xml:space="preserve">Tokyo</t>
  </si>
  <si>
    <t xml:space="preserve">Japan</t>
  </si>
  <si>
    <t xml:space="preserve">Warehouse &amp; cold store</t>
  </si>
  <si>
    <t xml:space="preserve">April</t>
  </si>
  <si>
    <t xml:space="preserve">Seismic zone. Building to 2011 code</t>
  </si>
  <si>
    <t xml:space="preserve">3PL-08</t>
  </si>
  <si>
    <t xml:space="preserve">Nippon Sanwa Osaka</t>
  </si>
  <si>
    <t xml:space="preserve">2-14 Nanko-kita, Suminoe-ku</t>
  </si>
  <si>
    <t xml:space="preserve">Osaka</t>
  </si>
  <si>
    <t xml:space="preserve">Port location, seismic and tsunami exposure</t>
  </si>
  <si>
    <t xml:space="preserve">3PL-09</t>
  </si>
  <si>
    <t xml:space="preserve">Iberia Farma Logistica</t>
  </si>
  <si>
    <t xml:space="preserve">Poligono Industrial Cabanillas, Nave 14</t>
  </si>
  <si>
    <t xml:space="preserve">Guadalajara</t>
  </si>
  <si>
    <t xml:space="preserve">Spain</t>
  </si>
  <si>
    <t xml:space="preserve">3PL-10</t>
  </si>
  <si>
    <t xml:space="preserve">Alpes Distribution Sante</t>
  </si>
  <si>
    <t xml:space="preserve">12 Rue de l'Industrie</t>
  </si>
  <si>
    <t xml:space="preserve">Lyon</t>
  </si>
  <si>
    <t xml:space="preserve">France</t>
  </si>
  <si>
    <t xml:space="preserve">3PL-11</t>
  </si>
  <si>
    <t xml:space="preserve">Adriatic Pharma Store</t>
  </si>
  <si>
    <t xml:space="preserve">Via Enrico Fermi 44</t>
  </si>
  <si>
    <t xml:space="preserve">Verona</t>
  </si>
  <si>
    <t xml:space="preserve">Italy</t>
  </si>
  <si>
    <t xml:space="preserve">No</t>
  </si>
  <si>
    <t xml:space="preserve">NOT SPRINKLERED. Value capped at USD 3.5m by agreement</t>
  </si>
  <si>
    <t xml:space="preserve">3PL-12</t>
  </si>
  <si>
    <t xml:space="preserve">Vistula Logistyka</t>
  </si>
  <si>
    <t xml:space="preserve">ul. Poznanska 88</t>
  </si>
  <si>
    <t xml:space="preserve">Warsaw</t>
  </si>
  <si>
    <t xml:space="preserve">Poland</t>
  </si>
  <si>
    <t xml:space="preserve">3PL-13</t>
  </si>
  <si>
    <t xml:space="preserve">Nordic Med Lager AB</t>
  </si>
  <si>
    <t xml:space="preserve">Flygfraktvagen 6, Arlanda</t>
  </si>
  <si>
    <t xml:space="preserve">Stockholm</t>
  </si>
  <si>
    <t xml:space="preserve">Sweden</t>
  </si>
  <si>
    <t xml:space="preserve">January</t>
  </si>
  <si>
    <t xml:space="preserve">3PL-14</t>
  </si>
  <si>
    <t xml:space="preserve">Anatolia Ilac Depo</t>
  </si>
  <si>
    <t xml:space="preserve">Ikitelli OSB, Blok 22</t>
  </si>
  <si>
    <t xml:space="preserve">Istanbul</t>
  </si>
  <si>
    <t xml:space="preserve">Turkey</t>
  </si>
  <si>
    <t xml:space="preserve">NOT SPRINKLERED. Seismic zone 1. Value capped at USD 3m</t>
  </si>
  <si>
    <t xml:space="preserve">3PL-15</t>
  </si>
  <si>
    <t xml:space="preserve">Gulf Pharma Services</t>
  </si>
  <si>
    <t xml:space="preserve">Jebel Ali Free Zone, Plot S30115</t>
  </si>
  <si>
    <t xml:space="preserve">Dubai</t>
  </si>
  <si>
    <t xml:space="preserve">United Arab Emirates</t>
  </si>
  <si>
    <t xml:space="preserve">Middle East &amp; Africa</t>
  </si>
  <si>
    <t xml:space="preserve">Regional distribution for MEA</t>
  </si>
  <si>
    <t xml:space="preserve">3PL-16</t>
  </si>
  <si>
    <t xml:space="preserve">Ubuntu Health Logistics</t>
  </si>
  <si>
    <t xml:space="preserve">17 Director Road, Spartan</t>
  </si>
  <si>
    <t xml:space="preserve">Johannesburg</t>
  </si>
  <si>
    <t xml:space="preserve">South Africa</t>
  </si>
  <si>
    <t xml:space="preserve">Armed response, 24 hour</t>
  </si>
  <si>
    <t xml:space="preserve">3PL-17</t>
  </si>
  <si>
    <t xml:space="preserve">Sao Paulo Farma Deposito</t>
  </si>
  <si>
    <t xml:space="preserve">Avenida Papa Joao XXIII 1200</t>
  </si>
  <si>
    <t xml:space="preserve">Maua</t>
  </si>
  <si>
    <t xml:space="preserve">Sprinklers installed 2023 following fire claim CLM-2023-0018</t>
  </si>
  <si>
    <t xml:space="preserve">3PL-18</t>
  </si>
  <si>
    <t xml:space="preserve">Andes Distribucion</t>
  </si>
  <si>
    <t xml:space="preserve">Camino a Melipilla 14200</t>
  </si>
  <si>
    <t xml:space="preserve">Santiago</t>
  </si>
  <si>
    <t xml:space="preserve">Chile</t>
  </si>
  <si>
    <t xml:space="preserve">Seismic zone</t>
  </si>
  <si>
    <t xml:space="preserve">3PL-19</t>
  </si>
  <si>
    <t xml:space="preserve">Ganges Pharma Depot</t>
  </si>
  <si>
    <t xml:space="preserve">Survey 118, Medchal Road</t>
  </si>
  <si>
    <t xml:space="preserve">NOT SPRINKLERED. Monsoon flood exposure. Value capped at USD 4m</t>
  </si>
  <si>
    <t xml:space="preserve">3PL-20</t>
  </si>
  <si>
    <t xml:space="preserve">Lion City Cold Chain</t>
  </si>
  <si>
    <t xml:space="preserve">5 Changi North Way</t>
  </si>
  <si>
    <t xml:space="preserve">2-8C</t>
  </si>
  <si>
    <t xml:space="preserve">3PL-21</t>
  </si>
  <si>
    <t xml:space="preserve">Sydney Pharma Warehousing</t>
  </si>
  <si>
    <t xml:space="preserve">22 Kellaway Place</t>
  </si>
  <si>
    <t xml:space="preserve">Sydney</t>
  </si>
  <si>
    <t xml:space="preserve">Australia</t>
  </si>
  <si>
    <t xml:space="preserve">Bushfire exposure reviewed 2025, acceptable</t>
  </si>
  <si>
    <t xml:space="preserve">3PL-22</t>
  </si>
  <si>
    <t xml:space="preserve">Han River Medical Store</t>
  </si>
  <si>
    <t xml:space="preserve">88 Gimpo-daero, Gangseo-gu</t>
  </si>
  <si>
    <t xml:space="preserve">Seoul</t>
  </si>
  <si>
    <t xml:space="preserve">South Korea</t>
  </si>
  <si>
    <t xml:space="preserve">NOT SPRINKLERED. Value capped at USD 2.5m</t>
  </si>
  <si>
    <t xml:space="preserve">3PL-23</t>
  </si>
  <si>
    <t xml:space="preserve">Maple Health Distribution</t>
  </si>
  <si>
    <t xml:space="preserve">6100 Tomken Road</t>
  </si>
  <si>
    <t xml:space="preserve">Mississauga</t>
  </si>
  <si>
    <t xml:space="preserve">Canada</t>
  </si>
  <si>
    <t xml:space="preserve">Sending Reference</t>
  </si>
  <si>
    <t xml:space="preserve">Despatch Date</t>
  </si>
  <si>
    <t xml:space="preserve">Description of Goods</t>
  </si>
  <si>
    <t xml:space="preserve">Product Division</t>
  </si>
  <si>
    <t xml:space="preserve">Packing</t>
  </si>
  <si>
    <t xml:space="preserve">Number of Units</t>
  </si>
  <si>
    <t xml:space="preserve">Conveyance</t>
  </si>
  <si>
    <t xml:space="preserve">Carrier / Forwarder</t>
  </si>
  <si>
    <t xml:space="preserve">Origin</t>
  </si>
  <si>
    <t xml:space="preserve">Origin Country</t>
  </si>
  <si>
    <t xml:space="preserve">Destination</t>
  </si>
  <si>
    <t xml:space="preserve">Destination Country</t>
  </si>
  <si>
    <t xml:space="preserve">Incoterms</t>
  </si>
  <si>
    <t xml:space="preserve">Insured Value (USD)</t>
  </si>
  <si>
    <t xml:space="preserve">SND-0001</t>
  </si>
  <si>
    <t xml:space="preserve">VELCARIN (adalimumab-vtrs) 40mg pre-filled pens</t>
  </si>
  <si>
    <t xml:space="preserve">Biologics</t>
  </si>
  <si>
    <t xml:space="preserve">Validated single-use shipper</t>
  </si>
  <si>
    <t xml:space="preserve">Skybridge Air Cargo</t>
  </si>
  <si>
    <t xml:space="preserve">Vantris Benelux DC, Venlo</t>
  </si>
  <si>
    <t xml:space="preserve">Vantris Pharma Inc DC, Memphis</t>
  </si>
  <si>
    <t xml:space="preserve">DAP</t>
  </si>
  <si>
    <t xml:space="preserve">SND-0002</t>
  </si>
  <si>
    <t xml:space="preserve">VELCARIN bulk drug substance</t>
  </si>
  <si>
    <t xml:space="preserve">Cryogenic dewar</t>
  </si>
  <si>
    <t xml:space="preserve">Kuehne Delta Logistics</t>
  </si>
  <si>
    <t xml:space="preserve">Sarvani Labs, Hyderabad</t>
  </si>
  <si>
    <t xml:space="preserve">Ubuntu Health Logistics, Johannesburg</t>
  </si>
  <si>
    <t xml:space="preserve">CIP</t>
  </si>
  <si>
    <t xml:space="preserve">-70C dry ice</t>
  </si>
  <si>
    <t xml:space="preserve">SND-0003</t>
  </si>
  <si>
    <t xml:space="preserve">Emollient ointment 500g tubs, retail packs</t>
  </si>
  <si>
    <t xml:space="preserve">Consumer &amp; Dermatology</t>
  </si>
  <si>
    <t xml:space="preserve">Palletised cartons</t>
  </si>
  <si>
    <t xml:space="preserve">Marchetti Global Forwarding</t>
  </si>
  <si>
    <t xml:space="preserve">Andes Distribucion, Santiago</t>
  </si>
  <si>
    <t xml:space="preserve">CPT</t>
  </si>
  <si>
    <t xml:space="preserve">SND-0004</t>
  </si>
  <si>
    <t xml:space="preserve">Ondansetron 4mg/2ml ampoules</t>
  </si>
  <si>
    <t xml:space="preserve">Sterile Injectables</t>
  </si>
  <si>
    <t xml:space="preserve">EXW</t>
  </si>
  <si>
    <t xml:space="preserve">SND-0005</t>
  </si>
  <si>
    <t xml:space="preserve">Metformin 850mg film-coated tablets, bulk</t>
  </si>
  <si>
    <t xml:space="preserve">Oral Solid Dose</t>
  </si>
  <si>
    <t xml:space="preserve">Fibre drums on pallets</t>
  </si>
  <si>
    <t xml:space="preserve">Courier</t>
  </si>
  <si>
    <t xml:space="preserve">World Express Medical</t>
  </si>
  <si>
    <t xml:space="preserve">SND-0006</t>
  </si>
  <si>
    <t xml:space="preserve">Paracetamol API, bulk</t>
  </si>
  <si>
    <t xml:space="preserve">Raw Materials</t>
  </si>
  <si>
    <t xml:space="preserve">CryoLane Speciality Logistics</t>
  </si>
  <si>
    <t xml:space="preserve">FCA</t>
  </si>
  <si>
    <t xml:space="preserve">SND-0007</t>
  </si>
  <si>
    <t xml:space="preserve">Clinical trial material, blinded kits</t>
  </si>
  <si>
    <t xml:space="preserve">Validated parcel shipper</t>
  </si>
  <si>
    <t xml:space="preserve">SND-0008</t>
  </si>
  <si>
    <t xml:space="preserve">Amoxicillin 500mg capsules, blistered, cartons</t>
  </si>
  <si>
    <t xml:space="preserve">Harrowgate Haulage Ltd</t>
  </si>
  <si>
    <t xml:space="preserve">Vistula Logistyka, Warsaw</t>
  </si>
  <si>
    <t xml:space="preserve">SND-0009</t>
  </si>
  <si>
    <t xml:space="preserve">Lyophilised vials, bulk unlabelled</t>
  </si>
  <si>
    <t xml:space="preserve">Validated pallet shipper</t>
  </si>
  <si>
    <t xml:space="preserve">SND-0010</t>
  </si>
  <si>
    <t xml:space="preserve">SND-0011</t>
  </si>
  <si>
    <t xml:space="preserve">SND-0012</t>
  </si>
  <si>
    <t xml:space="preserve">Ganges Pharma Depot, Hyderabad</t>
  </si>
  <si>
    <t xml:space="preserve">SND-0013</t>
  </si>
  <si>
    <t xml:space="preserve">Vantris do Brasil, Guarulhos</t>
  </si>
  <si>
    <t xml:space="preserve">SND-0014</t>
  </si>
  <si>
    <t xml:space="preserve">Alpes Distribution Sante, Lyon</t>
  </si>
  <si>
    <t xml:space="preserve">SND-0015</t>
  </si>
  <si>
    <t xml:space="preserve">Oceanus Container Services</t>
  </si>
  <si>
    <t xml:space="preserve">SND-0016</t>
  </si>
  <si>
    <t xml:space="preserve">Atorvastatin 20mg tablets, finished packs</t>
  </si>
  <si>
    <t xml:space="preserve">SND-0017</t>
  </si>
  <si>
    <t xml:space="preserve">SND-0018</t>
  </si>
  <si>
    <t xml:space="preserve">SND-0019</t>
  </si>
  <si>
    <t xml:space="preserve">Empty validated shippers, returned</t>
  </si>
  <si>
    <t xml:space="preserve">Packaging</t>
  </si>
  <si>
    <t xml:space="preserve">Nested on pallets</t>
  </si>
  <si>
    <t xml:space="preserve">Maple Health Distribution, Mississauga</t>
  </si>
  <si>
    <t xml:space="preserve">Ambient</t>
  </si>
  <si>
    <t xml:space="preserve">SND-0020</t>
  </si>
  <si>
    <t xml:space="preserve">Vantris Sterile Ireland, Cork</t>
  </si>
  <si>
    <t xml:space="preserve">Gulf Pharma Services, Dubai</t>
  </si>
  <si>
    <t xml:space="preserve">SND-0021</t>
  </si>
  <si>
    <t xml:space="preserve">Nordic Bellamy Line</t>
  </si>
  <si>
    <t xml:space="preserve">DDP</t>
  </si>
  <si>
    <t xml:space="preserve">SND-0022</t>
  </si>
  <si>
    <t xml:space="preserve">SND-0023</t>
  </si>
  <si>
    <t xml:space="preserve">Nippon Sanwa Logistics, Tokyo</t>
  </si>
  <si>
    <t xml:space="preserve">SND-0024</t>
  </si>
  <si>
    <t xml:space="preserve">SND-0025</t>
  </si>
  <si>
    <t xml:space="preserve">SND-0026</t>
  </si>
  <si>
    <t xml:space="preserve">Hydrocortisone 1% cream, 30g tubes</t>
  </si>
  <si>
    <t xml:space="preserve">SND-0027</t>
  </si>
  <si>
    <t xml:space="preserve">Levothyroxine 100mcg tablets, finished packs</t>
  </si>
  <si>
    <t xml:space="preserve">SND-0028</t>
  </si>
  <si>
    <t xml:space="preserve">SND-0029</t>
  </si>
  <si>
    <t xml:space="preserve">SND-0030</t>
  </si>
  <si>
    <t xml:space="preserve">Sao Paulo Farma Deposito, Maua</t>
  </si>
  <si>
    <t xml:space="preserve">SND-0031</t>
  </si>
  <si>
    <t xml:space="preserve">Anatolia Ilac Depo, Istanbul</t>
  </si>
  <si>
    <t xml:space="preserve">SND-0032</t>
  </si>
  <si>
    <t xml:space="preserve">Ceftriaxone 1g powder for injection, vials</t>
  </si>
  <si>
    <t xml:space="preserve">Lion City Cold Chain, Singapore</t>
  </si>
  <si>
    <t xml:space="preserve">SND-0033</t>
  </si>
  <si>
    <t xml:space="preserve">Microcrystalline cellulose, excipient</t>
  </si>
  <si>
    <t xml:space="preserve">Sacks on pallets</t>
  </si>
  <si>
    <t xml:space="preserve">SND-0034</t>
  </si>
  <si>
    <t xml:space="preserve">Enoxaparin 40mg pre-filled syringes</t>
  </si>
  <si>
    <t xml:space="preserve">Insulated pallet shipper</t>
  </si>
  <si>
    <t xml:space="preserve">SND-0035</t>
  </si>
  <si>
    <t xml:space="preserve">SND-0036</t>
  </si>
  <si>
    <t xml:space="preserve">SND-0037</t>
  </si>
  <si>
    <t xml:space="preserve">SND-0038</t>
  </si>
  <si>
    <t xml:space="preserve">SND-0039</t>
  </si>
  <si>
    <t xml:space="preserve">SND-0040</t>
  </si>
  <si>
    <t xml:space="preserve">SND-0041</t>
  </si>
  <si>
    <t xml:space="preserve">SND-0042</t>
  </si>
  <si>
    <t xml:space="preserve">SND-0043</t>
  </si>
  <si>
    <t xml:space="preserve">SND-0044</t>
  </si>
  <si>
    <t xml:space="preserve">Iberia Farma Logistica, Guadalajara</t>
  </si>
  <si>
    <t xml:space="preserve">SND-0045</t>
  </si>
  <si>
    <t xml:space="preserve">SND-0046</t>
  </si>
  <si>
    <t xml:space="preserve">Biosimilar trastuzumab, finished vials</t>
  </si>
  <si>
    <t xml:space="preserve">SND-0047</t>
  </si>
  <si>
    <t xml:space="preserve">SND-0048</t>
  </si>
  <si>
    <t xml:space="preserve">Medicated shampoo 200ml bottles</t>
  </si>
  <si>
    <t xml:space="preserve">Palletised shrink-wrapped trays</t>
  </si>
  <si>
    <t xml:space="preserve">SND-0049</t>
  </si>
  <si>
    <t xml:space="preserve">SND-0050</t>
  </si>
  <si>
    <t xml:space="preserve">Han River Medical Store, Seoul</t>
  </si>
  <si>
    <t xml:space="preserve">SND-0051</t>
  </si>
  <si>
    <t xml:space="preserve">SND-0052</t>
  </si>
  <si>
    <t xml:space="preserve">Nordic Med Lager AB, Stockholm</t>
  </si>
  <si>
    <t xml:space="preserve">SND-0053</t>
  </si>
  <si>
    <t xml:space="preserve">SND-0054</t>
  </si>
  <si>
    <t xml:space="preserve">SND-0055</t>
  </si>
  <si>
    <t xml:space="preserve">SND-0056</t>
  </si>
  <si>
    <t xml:space="preserve">SND-0057</t>
  </si>
  <si>
    <t xml:space="preserve">SND-0058</t>
  </si>
  <si>
    <t xml:space="preserve">SND-0059</t>
  </si>
  <si>
    <t xml:space="preserve">SND-0060</t>
  </si>
  <si>
    <t xml:space="preserve">SND-0061</t>
  </si>
  <si>
    <t xml:space="preserve">Adriatic Pharma Store, Verona</t>
  </si>
  <si>
    <t xml:space="preserve">SND-0062</t>
  </si>
  <si>
    <t xml:space="preserve">SND-0063</t>
  </si>
  <si>
    <t xml:space="preserve">SND-0064</t>
  </si>
  <si>
    <t xml:space="preserve">SND-0065</t>
  </si>
  <si>
    <t xml:space="preserve">SND-0066</t>
  </si>
  <si>
    <t xml:space="preserve">SND-0067</t>
  </si>
  <si>
    <t xml:space="preserve">SND-0068</t>
  </si>
  <si>
    <t xml:space="preserve">SND-0069</t>
  </si>
  <si>
    <t xml:space="preserve">SND-0070</t>
  </si>
  <si>
    <t xml:space="preserve">SND-0071</t>
  </si>
  <si>
    <t xml:space="preserve">SND-0072</t>
  </si>
  <si>
    <t xml:space="preserve">SND-0073</t>
  </si>
  <si>
    <t xml:space="preserve">SND-0074</t>
  </si>
  <si>
    <t xml:space="preserve">SND-0075</t>
  </si>
  <si>
    <t xml:space="preserve">SND-0076</t>
  </si>
  <si>
    <t xml:space="preserve">SND-0077</t>
  </si>
  <si>
    <t xml:space="preserve">SND-0078</t>
  </si>
  <si>
    <t xml:space="preserve">SND-0079</t>
  </si>
  <si>
    <t xml:space="preserve">SND-0080</t>
  </si>
  <si>
    <t xml:space="preserve">SND-0081</t>
  </si>
  <si>
    <t xml:space="preserve">SND-0082</t>
  </si>
  <si>
    <t xml:space="preserve">SND-0083</t>
  </si>
  <si>
    <t xml:space="preserve">SND-0084</t>
  </si>
  <si>
    <t xml:space="preserve">SND-0085</t>
  </si>
  <si>
    <t xml:space="preserve">SND-0086</t>
  </si>
  <si>
    <t xml:space="preserve">SND-0087</t>
  </si>
  <si>
    <t xml:space="preserve">SND-0088</t>
  </si>
  <si>
    <t xml:space="preserve">SND-0089</t>
  </si>
  <si>
    <t xml:space="preserve">SND-0090</t>
  </si>
  <si>
    <t xml:space="preserve">SND-0091</t>
  </si>
  <si>
    <t xml:space="preserve">SND-0092</t>
  </si>
  <si>
    <t xml:space="preserve">SND-0093</t>
  </si>
  <si>
    <t xml:space="preserve">SND-0094</t>
  </si>
  <si>
    <t xml:space="preserve">SND-0095</t>
  </si>
  <si>
    <t xml:space="preserve">SND-0096</t>
  </si>
  <si>
    <t xml:space="preserve">SND-0097</t>
  </si>
  <si>
    <t xml:space="preserve">SND-0098</t>
  </si>
  <si>
    <t xml:space="preserve">SND-0099</t>
  </si>
  <si>
    <t xml:space="preserve">SND-0100</t>
  </si>
  <si>
    <t xml:space="preserve">SND-0101</t>
  </si>
  <si>
    <t xml:space="preserve">SND-0102</t>
  </si>
  <si>
    <t xml:space="preserve">SND-0103</t>
  </si>
  <si>
    <t xml:space="preserve">SND-0104</t>
  </si>
  <si>
    <t xml:space="preserve">SND-0105</t>
  </si>
  <si>
    <t xml:space="preserve">SND-0106</t>
  </si>
  <si>
    <t xml:space="preserve">SND-0107</t>
  </si>
  <si>
    <t xml:space="preserve">SND-0108</t>
  </si>
  <si>
    <t xml:space="preserve">SND-0109</t>
  </si>
  <si>
    <t xml:space="preserve">SND-0110</t>
  </si>
  <si>
    <t xml:space="preserve">SND-0111</t>
  </si>
  <si>
    <t xml:space="preserve">SND-0112</t>
  </si>
  <si>
    <t xml:space="preserve">SND-0113</t>
  </si>
  <si>
    <t xml:space="preserve">SND-0114</t>
  </si>
  <si>
    <t xml:space="preserve">SND-0115</t>
  </si>
  <si>
    <t xml:space="preserve">SND-0116</t>
  </si>
  <si>
    <t xml:space="preserve">SND-0117</t>
  </si>
  <si>
    <t xml:space="preserve">SND-0118</t>
  </si>
  <si>
    <t xml:space="preserve">SND-0119</t>
  </si>
  <si>
    <t xml:space="preserve">SND-0120</t>
  </si>
</sst>
</file>

<file path=xl/styles.xml><?xml version="1.0" encoding="utf-8"?>
<styleSheet xmlns="http://schemas.openxmlformats.org/spreadsheetml/2006/main">
  <numFmts count="3">
    <numFmt numFmtId="164" formatCode="General"/>
    <numFmt numFmtId="165" formatCode="dd/mm/yyyy"/>
    <numFmt numFmtId="166" formatCode="#,##0"/>
  </numFmts>
  <fonts count="1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1"/>
      <color rgb="FF404040"/>
      <name val="Arial"/>
      <family val="0"/>
      <charset val="1"/>
    </font>
    <font>
      <b val="true"/>
      <sz val="10"/>
      <name val="Arial"/>
      <family val="0"/>
      <charset val="1"/>
    </font>
    <font>
      <sz val="10"/>
      <name val="Arial"/>
      <family val="0"/>
      <charset val="1"/>
    </font>
    <font>
      <b val="true"/>
      <sz val="12"/>
      <color rgb="FFFFFFFF"/>
      <name val="Arial"/>
      <family val="0"/>
      <charset val="1"/>
    </font>
    <font>
      <b val="true"/>
      <sz val="13"/>
      <color rgb="FF1F3864"/>
      <name val="Arial"/>
      <family val="0"/>
      <charset val="1"/>
    </font>
    <font>
      <i val="true"/>
      <sz val="10"/>
      <color rgb="FF404040"/>
      <name val="Arial"/>
      <family val="0"/>
      <charset val="1"/>
    </font>
    <font>
      <b val="true"/>
      <sz val="10"/>
      <color rgb="FFFFFFFF"/>
      <name val="Arial"/>
      <family val="0"/>
      <charset val="1"/>
    </font>
    <font>
      <i val="true"/>
      <sz val="10"/>
      <name val="Arial"/>
      <family val="0"/>
      <charset val="1"/>
    </font>
    <font>
      <b val="true"/>
      <sz val="9"/>
      <name val="Arial"/>
      <family val="0"/>
      <charset val="1"/>
    </font>
    <font>
      <i val="true"/>
      <sz val="9"/>
      <name val="Arial"/>
      <family val="0"/>
      <charset val="1"/>
    </font>
  </fonts>
  <fills count="4">
    <fill>
      <patternFill patternType="none"/>
    </fill>
    <fill>
      <patternFill patternType="gray125"/>
    </fill>
    <fill>
      <patternFill patternType="solid">
        <fgColor rgb="FF1F3864"/>
        <bgColor rgb="FF333399"/>
      </patternFill>
    </fill>
    <fill>
      <patternFill patternType="solid">
        <fgColor rgb="FFD9E2F3"/>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6" fillId="3"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tblLocations" displayName="tblLocations" ref="A1:O33" headerRowCount="1" totalsRowCount="0" totalsRowShown="0">
  <autoFilter ref="A1:O33"/>
  <tableColumns count="15">
    <tableColumn id="1" name="Location ID"/>
    <tableColumn id="2" name="Site Name"/>
    <tableColumn id="3" name="Address"/>
    <tableColumn id="4" name="City"/>
    <tableColumn id="5" name="Country"/>
    <tableColumn id="6" name="Region"/>
    <tableColumn id="7" name="Occupancy"/>
    <tableColumn id="8" name="Ownership"/>
    <tableColumn id="9" name="Temperature Regime"/>
    <tableColumn id="10" name="Sprinklered"/>
    <tableColumn id="11" name="Maximum Stock Value (USD)"/>
    <tableColumn id="12" name="Average Stock Value (USD)"/>
    <tableColumn id="13" name="Peak Month"/>
    <tableColumn id="14" name="Flood Zone"/>
    <tableColumn id="15" name="Notes"/>
  </tableColumns>
</table>
</file>

<file path=xl/tables/table2.xml><?xml version="1.0" encoding="utf-8"?>
<table xmlns="http://schemas.openxmlformats.org/spreadsheetml/2006/main" id="2" name="tblSendings" displayName="tblSendings" ref="A1:O121" headerRowCount="1" totalsRowCount="0" totalsRowShown="0">
  <autoFilter ref="A1:O121"/>
  <tableColumns count="15">
    <tableColumn id="1" name="Sending Reference"/>
    <tableColumn id="2" name="Despatch Date"/>
    <tableColumn id="3" name="Description of Goods"/>
    <tableColumn id="4" name="Product Division"/>
    <tableColumn id="5" name="Packing"/>
    <tableColumn id="6" name="Number of Units"/>
    <tableColumn id="7" name="Conveyance"/>
    <tableColumn id="8" name="Carrier / Forwarder"/>
    <tableColumn id="9" name="Origin"/>
    <tableColumn id="10" name="Origin Country"/>
    <tableColumn id="11" name="Destination"/>
    <tableColumn id="12" name="Destination Country"/>
    <tableColumn id="13" name="Incoterms"/>
    <tableColumn id="14" name="Temperature Regime"/>
    <tableColumn id="15" name="Insured Value (USD)"/>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C6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0234375" defaultRowHeight="15" customHeight="false"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86"/>
  </cols>
  <sheetData>
    <row r="1" customFormat="false" ht="21.75" hidden="false" customHeight="true" outlineLevel="0" collapsed="false">
      <c r="B1" s="1" t="s">
        <v>0</v>
      </c>
      <c r="C1" s="1"/>
    </row>
    <row r="2" customFormat="false" ht="15" hidden="false" customHeight="false" outlineLevel="0" collapsed="false">
      <c r="B2" s="2" t="s">
        <v>1</v>
      </c>
      <c r="C2" s="2"/>
    </row>
    <row r="3" customFormat="false" ht="15" hidden="false" customHeight="false" outlineLevel="0" collapsed="false">
      <c r="B3" s="2" t="s">
        <v>2</v>
      </c>
      <c r="C3" s="2"/>
    </row>
    <row r="5" customFormat="false" ht="13.5" hidden="false" customHeight="true" outlineLevel="0" collapsed="false">
      <c r="B5" s="3" t="s">
        <v>3</v>
      </c>
      <c r="C5" s="4" t="s">
        <v>4</v>
      </c>
    </row>
    <row r="6" customFormat="false" ht="25.5" hidden="false" customHeight="true" outlineLevel="0" collapsed="false">
      <c r="B6" s="3" t="s">
        <v>5</v>
      </c>
      <c r="C6" s="4" t="s">
        <v>6</v>
      </c>
    </row>
    <row r="7" customFormat="false" ht="25.5" hidden="false" customHeight="true" outlineLevel="0" collapsed="false">
      <c r="B7" s="3" t="s">
        <v>7</v>
      </c>
      <c r="C7" s="4" t="s">
        <v>8</v>
      </c>
    </row>
    <row r="8" customFormat="false" ht="13.5" hidden="false" customHeight="true" outlineLevel="0" collapsed="false">
      <c r="B8" s="3" t="s">
        <v>9</v>
      </c>
      <c r="C8" s="4" t="s">
        <v>10</v>
      </c>
    </row>
    <row r="9" customFormat="false" ht="13.5" hidden="false" customHeight="true" outlineLevel="0" collapsed="false">
      <c r="B9" s="3" t="s">
        <v>11</v>
      </c>
      <c r="C9" s="4" t="s">
        <v>12</v>
      </c>
    </row>
    <row r="11" customFormat="false" ht="18" hidden="false" customHeight="true" outlineLevel="0" collapsed="false">
      <c r="B11" s="5" t="s">
        <v>13</v>
      </c>
      <c r="C11" s="5"/>
    </row>
    <row r="12" customFormat="false" ht="28.5" hidden="false" customHeight="true" outlineLevel="0" collapsed="false">
      <c r="B12" s="6" t="s">
        <v>14</v>
      </c>
      <c r="C12" s="6"/>
    </row>
    <row r="13" customFormat="false" ht="28.5" hidden="false" customHeight="true" outlineLevel="0" collapsed="false">
      <c r="B13" s="6" t="s">
        <v>15</v>
      </c>
      <c r="C13" s="6"/>
    </row>
    <row r="14" customFormat="false" ht="42" hidden="false" customHeight="true" outlineLevel="0" collapsed="false">
      <c r="B14" s="6" t="s">
        <v>16</v>
      </c>
      <c r="C14" s="6"/>
    </row>
    <row r="16" customFormat="false" ht="18" hidden="false" customHeight="true" outlineLevel="0" collapsed="false">
      <c r="B16" s="5" t="s">
        <v>17</v>
      </c>
      <c r="C16" s="5"/>
    </row>
    <row r="17" customFormat="false" ht="15.75" hidden="false" customHeight="true" outlineLevel="0" collapsed="false">
      <c r="B17" s="6" t="s">
        <v>18</v>
      </c>
      <c r="C17" s="6"/>
    </row>
    <row r="18" customFormat="false" ht="28.5" hidden="false" customHeight="true" outlineLevel="0" collapsed="false">
      <c r="B18" s="6" t="s">
        <v>19</v>
      </c>
      <c r="C18" s="6"/>
    </row>
    <row r="19" customFormat="false" ht="28.5" hidden="false" customHeight="true" outlineLevel="0" collapsed="false">
      <c r="B19" s="6" t="s">
        <v>20</v>
      </c>
      <c r="C19" s="6"/>
    </row>
    <row r="20" customFormat="false" ht="42" hidden="false" customHeight="true" outlineLevel="0" collapsed="false">
      <c r="B20" s="6" t="s">
        <v>21</v>
      </c>
      <c r="C20" s="6"/>
    </row>
    <row r="21" customFormat="false" ht="28.5" hidden="false" customHeight="true" outlineLevel="0" collapsed="false">
      <c r="B21" s="6" t="s">
        <v>22</v>
      </c>
      <c r="C21" s="6"/>
    </row>
    <row r="22" customFormat="false" ht="28.5" hidden="false" customHeight="true" outlineLevel="0" collapsed="false">
      <c r="B22" s="6" t="s">
        <v>23</v>
      </c>
      <c r="C22" s="6"/>
    </row>
    <row r="24" customFormat="false" ht="18" hidden="false" customHeight="true" outlineLevel="0" collapsed="false">
      <c r="B24" s="5" t="s">
        <v>24</v>
      </c>
      <c r="C24" s="5"/>
    </row>
    <row r="25" customFormat="false" ht="42" hidden="false" customHeight="true" outlineLevel="0" collapsed="false">
      <c r="B25" s="6" t="s">
        <v>25</v>
      </c>
      <c r="C25" s="6"/>
    </row>
    <row r="26" customFormat="false" ht="42" hidden="false" customHeight="true" outlineLevel="0" collapsed="false">
      <c r="B26" s="6" t="s">
        <v>26</v>
      </c>
      <c r="C26" s="6"/>
    </row>
    <row r="27" customFormat="false" ht="42" hidden="false" customHeight="true" outlineLevel="0" collapsed="false">
      <c r="B27" s="6" t="s">
        <v>27</v>
      </c>
      <c r="C27" s="6"/>
    </row>
    <row r="28" customFormat="false" ht="67.5" hidden="false" customHeight="true" outlineLevel="0" collapsed="false">
      <c r="B28" s="6" t="s">
        <v>28</v>
      </c>
      <c r="C28" s="6"/>
    </row>
    <row r="30" customFormat="false" ht="18" hidden="false" customHeight="true" outlineLevel="0" collapsed="false">
      <c r="B30" s="5" t="s">
        <v>29</v>
      </c>
      <c r="C30" s="5"/>
    </row>
    <row r="31" customFormat="false" ht="54.75" hidden="false" customHeight="true" outlineLevel="0" collapsed="false">
      <c r="B31" s="6" t="s">
        <v>30</v>
      </c>
      <c r="C31" s="6"/>
    </row>
    <row r="32" customFormat="false" ht="42" hidden="false" customHeight="true" outlineLevel="0" collapsed="false">
      <c r="B32" s="6" t="s">
        <v>31</v>
      </c>
      <c r="C32" s="6"/>
    </row>
    <row r="33" customFormat="false" ht="54.75" hidden="false" customHeight="true" outlineLevel="0" collapsed="false">
      <c r="B33" s="6" t="s">
        <v>32</v>
      </c>
      <c r="C33" s="6"/>
    </row>
    <row r="35" customFormat="false" ht="18" hidden="false" customHeight="true" outlineLevel="0" collapsed="false">
      <c r="B35" s="5" t="s">
        <v>33</v>
      </c>
      <c r="C35" s="5"/>
    </row>
    <row r="36" customFormat="false" ht="67.5" hidden="false" customHeight="true" outlineLevel="0" collapsed="false">
      <c r="B36" s="6" t="s">
        <v>34</v>
      </c>
      <c r="C36" s="6"/>
    </row>
    <row r="37" customFormat="false" ht="28.5" hidden="false" customHeight="true" outlineLevel="0" collapsed="false">
      <c r="B37" s="6" t="s">
        <v>35</v>
      </c>
      <c r="C37" s="6"/>
    </row>
    <row r="39" customFormat="false" ht="18" hidden="false" customHeight="true" outlineLevel="0" collapsed="false">
      <c r="B39" s="5" t="s">
        <v>36</v>
      </c>
      <c r="C39" s="5"/>
    </row>
    <row r="40" customFormat="false" ht="42" hidden="false" customHeight="true" outlineLevel="0" collapsed="false">
      <c r="B40" s="6" t="s">
        <v>37</v>
      </c>
      <c r="C40" s="6"/>
    </row>
    <row r="41" customFormat="false" ht="28.5" hidden="false" customHeight="true" outlineLevel="0" collapsed="false">
      <c r="B41" s="6" t="s">
        <v>38</v>
      </c>
      <c r="C41" s="6"/>
    </row>
    <row r="42" customFormat="false" ht="13.5" hidden="false" customHeight="true" outlineLevel="0" collapsed="false">
      <c r="B42" s="3" t="s">
        <v>39</v>
      </c>
      <c r="C42" s="4" t="s">
        <v>40</v>
      </c>
    </row>
    <row r="43" customFormat="false" ht="13.5" hidden="false" customHeight="true" outlineLevel="0" collapsed="false">
      <c r="B43" s="3" t="s">
        <v>41</v>
      </c>
      <c r="C43" s="4" t="s">
        <v>42</v>
      </c>
    </row>
    <row r="44" customFormat="false" ht="13.5" hidden="false" customHeight="true" outlineLevel="0" collapsed="false">
      <c r="B44" s="3" t="s">
        <v>43</v>
      </c>
      <c r="C44" s="4" t="s">
        <v>42</v>
      </c>
    </row>
    <row r="45" customFormat="false" ht="13.5" hidden="false" customHeight="true" outlineLevel="0" collapsed="false">
      <c r="B45" s="3" t="s">
        <v>44</v>
      </c>
      <c r="C45" s="4" t="s">
        <v>45</v>
      </c>
    </row>
    <row r="46" customFormat="false" ht="13.5" hidden="false" customHeight="true" outlineLevel="0" collapsed="false">
      <c r="B46" s="3" t="s">
        <v>46</v>
      </c>
      <c r="C46" s="4" t="s">
        <v>47</v>
      </c>
    </row>
    <row r="47" customFormat="false" ht="13.5" hidden="false" customHeight="true" outlineLevel="0" collapsed="false">
      <c r="B47" s="3" t="s">
        <v>48</v>
      </c>
      <c r="C47" s="4" t="s">
        <v>49</v>
      </c>
    </row>
    <row r="48" customFormat="false" ht="13.5" hidden="false" customHeight="true" outlineLevel="0" collapsed="false">
      <c r="B48" s="3" t="s">
        <v>50</v>
      </c>
      <c r="C48" s="4" t="s">
        <v>51</v>
      </c>
    </row>
    <row r="49" customFormat="false" ht="13.5" hidden="false" customHeight="true" outlineLevel="0" collapsed="false">
      <c r="B49" s="3" t="s">
        <v>52</v>
      </c>
      <c r="C49" s="4" t="s">
        <v>53</v>
      </c>
    </row>
    <row r="50" customFormat="false" ht="13.5" hidden="false" customHeight="true" outlineLevel="0" collapsed="false">
      <c r="B50" s="3" t="s">
        <v>54</v>
      </c>
      <c r="C50" s="4" t="s">
        <v>55</v>
      </c>
    </row>
    <row r="51" customFormat="false" ht="13.5" hidden="false" customHeight="true" outlineLevel="0" collapsed="false">
      <c r="B51" s="3" t="s">
        <v>56</v>
      </c>
      <c r="C51" s="4" t="s">
        <v>57</v>
      </c>
    </row>
    <row r="52" customFormat="false" ht="13.5" hidden="false" customHeight="true" outlineLevel="0" collapsed="false">
      <c r="B52" s="3" t="s">
        <v>58</v>
      </c>
      <c r="C52" s="4" t="s">
        <v>59</v>
      </c>
    </row>
    <row r="53" customFormat="false" ht="13.5" hidden="false" customHeight="true" outlineLevel="0" collapsed="false">
      <c r="B53" s="3" t="s">
        <v>60</v>
      </c>
      <c r="C53" s="4" t="s">
        <v>61</v>
      </c>
    </row>
    <row r="54" customFormat="false" ht="13.5" hidden="false" customHeight="true" outlineLevel="0" collapsed="false">
      <c r="B54" s="3" t="s">
        <v>62</v>
      </c>
      <c r="C54" s="4" t="s">
        <v>63</v>
      </c>
    </row>
    <row r="56" customFormat="false" ht="18" hidden="false" customHeight="true" outlineLevel="0" collapsed="false">
      <c r="B56" s="5" t="s">
        <v>64</v>
      </c>
      <c r="C56" s="5"/>
    </row>
    <row r="57" customFormat="false" ht="67.5" hidden="false" customHeight="true" outlineLevel="0" collapsed="false">
      <c r="B57" s="6" t="s">
        <v>65</v>
      </c>
      <c r="C57" s="6"/>
    </row>
    <row r="58" customFormat="false" ht="42" hidden="false" customHeight="true" outlineLevel="0" collapsed="false">
      <c r="B58" s="6" t="s">
        <v>66</v>
      </c>
      <c r="C58" s="6"/>
    </row>
    <row r="60" customFormat="false" ht="18" hidden="false" customHeight="true" outlineLevel="0" collapsed="false">
      <c r="B60" s="5" t="s">
        <v>67</v>
      </c>
      <c r="C60" s="5"/>
    </row>
    <row r="61" customFormat="false" ht="42" hidden="false" customHeight="true" outlineLevel="0" collapsed="false">
      <c r="B61" s="6" t="s">
        <v>68</v>
      </c>
      <c r="C61" s="6"/>
    </row>
    <row r="63" customFormat="false" ht="18" hidden="false" customHeight="true" outlineLevel="0" collapsed="false">
      <c r="B63" s="5" t="s">
        <v>69</v>
      </c>
      <c r="C63" s="5"/>
    </row>
    <row r="64" customFormat="false" ht="28.5" hidden="false" customHeight="true" outlineLevel="0" collapsed="false">
      <c r="B64" s="6" t="s">
        <v>70</v>
      </c>
      <c r="C64" s="6"/>
    </row>
    <row r="65" customFormat="false" ht="15.75" hidden="false" customHeight="true" outlineLevel="0" collapsed="false">
      <c r="B65" s="6" t="s">
        <v>71</v>
      </c>
      <c r="C65" s="6"/>
    </row>
    <row r="66" customFormat="false" ht="15.75" hidden="false" customHeight="true" outlineLevel="0" collapsed="false">
      <c r="B66" s="6" t="s">
        <v>72</v>
      </c>
      <c r="C66" s="6"/>
    </row>
    <row r="67" customFormat="false" ht="28.5" hidden="false" customHeight="true" outlineLevel="0" collapsed="false">
      <c r="B67" s="6" t="s">
        <v>73</v>
      </c>
      <c r="C67" s="6"/>
    </row>
    <row r="69" customFormat="false" ht="28.5" hidden="false" customHeight="true" outlineLevel="0" collapsed="false">
      <c r="B69" s="6" t="s">
        <v>74</v>
      </c>
      <c r="C69" s="6"/>
    </row>
  </sheetData>
  <mergeCells count="40">
    <mergeCell ref="B1:C1"/>
    <mergeCell ref="B2:C2"/>
    <mergeCell ref="B3:C3"/>
    <mergeCell ref="B11:C11"/>
    <mergeCell ref="B12:C12"/>
    <mergeCell ref="B13:C13"/>
    <mergeCell ref="B14:C14"/>
    <mergeCell ref="B16:C16"/>
    <mergeCell ref="B17:C17"/>
    <mergeCell ref="B18:C18"/>
    <mergeCell ref="B19:C19"/>
    <mergeCell ref="B20:C20"/>
    <mergeCell ref="B21:C21"/>
    <mergeCell ref="B22:C22"/>
    <mergeCell ref="B24:C24"/>
    <mergeCell ref="B25:C25"/>
    <mergeCell ref="B26:C26"/>
    <mergeCell ref="B27:C27"/>
    <mergeCell ref="B28:C28"/>
    <mergeCell ref="B30:C30"/>
    <mergeCell ref="B31:C31"/>
    <mergeCell ref="B32:C32"/>
    <mergeCell ref="B33:C33"/>
    <mergeCell ref="B35:C35"/>
    <mergeCell ref="B36:C36"/>
    <mergeCell ref="B37:C37"/>
    <mergeCell ref="B39:C39"/>
    <mergeCell ref="B40:C40"/>
    <mergeCell ref="B41:C41"/>
    <mergeCell ref="B56:C56"/>
    <mergeCell ref="B57:C57"/>
    <mergeCell ref="B58:C58"/>
    <mergeCell ref="B60:C60"/>
    <mergeCell ref="B61:C61"/>
    <mergeCell ref="B63:C63"/>
    <mergeCell ref="B64:C64"/>
    <mergeCell ref="B65:C65"/>
    <mergeCell ref="B66:C66"/>
    <mergeCell ref="B67:C67"/>
    <mergeCell ref="B69:C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90234375" defaultRowHeight="15" customHeight="false" zeroHeight="false" outlineLevelRow="0" outlineLevelCol="0"/>
  <cols>
    <col collapsed="false" customWidth="true" hidden="false" outlineLevel="0" max="1" min="1" style="0" width="17"/>
    <col collapsed="false" customWidth="true" hidden="false" outlineLevel="0" max="2" min="2" style="0" width="16"/>
    <col collapsed="false" customWidth="true" hidden="false" outlineLevel="0" max="3" min="3" style="0" width="15"/>
    <col collapsed="false" customWidth="true" hidden="false" outlineLevel="0" max="4" min="4" style="0" width="52"/>
    <col collapsed="false" customWidth="true" hidden="false" outlineLevel="0" max="5" min="5" style="0" width="22"/>
    <col collapsed="false" customWidth="true" hidden="false" outlineLevel="0" max="6" min="6" style="0" width="28"/>
    <col collapsed="false" customWidth="true" hidden="false" outlineLevel="0" max="7" min="7" style="0" width="13"/>
    <col collapsed="false" customWidth="true" hidden="false" outlineLevel="0" max="8" min="8" style="0" width="14"/>
    <col collapsed="false" customWidth="true" hidden="false" outlineLevel="0" max="10" min="9" style="0" width="15"/>
    <col collapsed="false" customWidth="true" hidden="false" outlineLevel="0" max="11" min="11" style="0" width="12"/>
    <col collapsed="false" customWidth="true" hidden="false" outlineLevel="0" max="12" min="12" style="0" width="46"/>
  </cols>
  <sheetData>
    <row r="1" customFormat="false" ht="16.15" hidden="false" customHeight="false" outlineLevel="0" collapsed="false">
      <c r="A1" s="7" t="s">
        <v>75</v>
      </c>
    </row>
    <row r="2" customFormat="false" ht="15" hidden="false" customHeight="false" outlineLevel="0" collapsed="false">
      <c r="A2" s="8" t="s">
        <v>76</v>
      </c>
    </row>
    <row r="3" customFormat="false" ht="15" hidden="false" customHeight="false" outlineLevel="0" collapsed="false">
      <c r="A3" s="9" t="s">
        <v>77</v>
      </c>
      <c r="C3" s="10" t="s">
        <v>78</v>
      </c>
    </row>
    <row r="4" customFormat="false" ht="15" hidden="false" customHeight="false" outlineLevel="0" collapsed="false">
      <c r="A4" s="9" t="s">
        <v>79</v>
      </c>
      <c r="C4" s="11" t="n">
        <v>46238</v>
      </c>
    </row>
    <row r="5" customFormat="false" ht="15" hidden="false" customHeight="false" outlineLevel="0" collapsed="false">
      <c r="A5" s="9" t="s">
        <v>80</v>
      </c>
      <c r="C5" s="11" t="n">
        <v>46234</v>
      </c>
    </row>
    <row r="6" customFormat="false" ht="15" hidden="false" customHeight="false" outlineLevel="0" collapsed="false">
      <c r="A6" s="9" t="s">
        <v>81</v>
      </c>
      <c r="C6" s="10" t="s">
        <v>82</v>
      </c>
    </row>
    <row r="7" customFormat="false" ht="15" hidden="false" customHeight="false" outlineLevel="0" collapsed="false">
      <c r="A7" s="9" t="s">
        <v>83</v>
      </c>
      <c r="C7" s="10" t="s">
        <v>84</v>
      </c>
    </row>
    <row r="8" customFormat="false" ht="15" hidden="false" customHeight="false" outlineLevel="0" collapsed="false">
      <c r="A8" s="9" t="s">
        <v>85</v>
      </c>
      <c r="C8" s="10" t="s">
        <v>86</v>
      </c>
    </row>
    <row r="10" customFormat="false" ht="33.75" hidden="false" customHeight="true" outlineLevel="0" collapsed="false">
      <c r="A10" s="12" t="s">
        <v>87</v>
      </c>
      <c r="B10" s="12" t="s">
        <v>88</v>
      </c>
      <c r="C10" s="12" t="s">
        <v>89</v>
      </c>
      <c r="D10" s="12" t="s">
        <v>90</v>
      </c>
      <c r="E10" s="12" t="s">
        <v>91</v>
      </c>
      <c r="F10" s="12" t="s">
        <v>92</v>
      </c>
      <c r="G10" s="12" t="s">
        <v>93</v>
      </c>
      <c r="H10" s="12" t="s">
        <v>94</v>
      </c>
      <c r="I10" s="12" t="s">
        <v>95</v>
      </c>
      <c r="J10" s="12" t="s">
        <v>96</v>
      </c>
      <c r="K10" s="12" t="s">
        <v>97</v>
      </c>
      <c r="L10" s="12" t="s">
        <v>98</v>
      </c>
    </row>
    <row r="11" customFormat="false" ht="30" hidden="false" customHeight="true" outlineLevel="0" collapsed="false">
      <c r="A11" s="13" t="s">
        <v>99</v>
      </c>
      <c r="B11" s="14" t="n">
        <v>44517</v>
      </c>
      <c r="C11" s="13" t="s">
        <v>100</v>
      </c>
      <c r="D11" s="15" t="s">
        <v>101</v>
      </c>
      <c r="E11" s="13" t="s">
        <v>102</v>
      </c>
      <c r="F11" s="15" t="s">
        <v>103</v>
      </c>
      <c r="G11" s="13" t="s">
        <v>104</v>
      </c>
      <c r="H11" s="16" t="n">
        <v>38420</v>
      </c>
      <c r="I11" s="16" t="n">
        <v>0</v>
      </c>
      <c r="J11" s="16" t="n">
        <f aca="false">H11+I11</f>
        <v>38420</v>
      </c>
      <c r="K11" s="13" t="s">
        <v>105</v>
      </c>
      <c r="L11" s="15" t="s">
        <v>106</v>
      </c>
    </row>
    <row r="12" customFormat="false" ht="30" hidden="false" customHeight="true" outlineLevel="0" collapsed="false">
      <c r="A12" s="13" t="s">
        <v>107</v>
      </c>
      <c r="B12" s="14" t="n">
        <v>44570</v>
      </c>
      <c r="C12" s="13" t="s">
        <v>100</v>
      </c>
      <c r="D12" s="15" t="s">
        <v>108</v>
      </c>
      <c r="E12" s="13" t="s">
        <v>109</v>
      </c>
      <c r="F12" s="15" t="s">
        <v>110</v>
      </c>
      <c r="G12" s="13" t="s">
        <v>111</v>
      </c>
      <c r="H12" s="16" t="n">
        <v>612500</v>
      </c>
      <c r="I12" s="16" t="n">
        <v>0</v>
      </c>
      <c r="J12" s="16" t="n">
        <f aca="false">H12+I12</f>
        <v>612500</v>
      </c>
      <c r="K12" s="13" t="s">
        <v>105</v>
      </c>
      <c r="L12" s="15" t="s">
        <v>112</v>
      </c>
    </row>
    <row r="13" customFormat="false" ht="30" hidden="false" customHeight="true" outlineLevel="0" collapsed="false">
      <c r="A13" s="13" t="s">
        <v>113</v>
      </c>
      <c r="B13" s="14" t="n">
        <v>44622</v>
      </c>
      <c r="C13" s="13" t="s">
        <v>100</v>
      </c>
      <c r="D13" s="15" t="s">
        <v>114</v>
      </c>
      <c r="E13" s="13" t="s">
        <v>115</v>
      </c>
      <c r="F13" s="15" t="s">
        <v>116</v>
      </c>
      <c r="G13" s="13" t="s">
        <v>104</v>
      </c>
      <c r="H13" s="16" t="n">
        <v>47900</v>
      </c>
      <c r="I13" s="16" t="n">
        <v>0</v>
      </c>
      <c r="J13" s="16" t="n">
        <f aca="false">H13+I13</f>
        <v>47900</v>
      </c>
      <c r="K13" s="13" t="s">
        <v>105</v>
      </c>
      <c r="L13" s="15" t="s">
        <v>117</v>
      </c>
    </row>
    <row r="14" customFormat="false" ht="30" hidden="false" customHeight="true" outlineLevel="0" collapsed="false">
      <c r="A14" s="13" t="s">
        <v>118</v>
      </c>
      <c r="B14" s="14" t="n">
        <v>44733</v>
      </c>
      <c r="C14" s="13" t="s">
        <v>100</v>
      </c>
      <c r="D14" s="15" t="s">
        <v>119</v>
      </c>
      <c r="E14" s="13" t="s">
        <v>120</v>
      </c>
      <c r="F14" s="15" t="s">
        <v>121</v>
      </c>
      <c r="G14" s="13" t="s">
        <v>122</v>
      </c>
      <c r="H14" s="16" t="n">
        <v>128740</v>
      </c>
      <c r="I14" s="16" t="n">
        <v>0</v>
      </c>
      <c r="J14" s="16" t="n">
        <f aca="false">H14+I14</f>
        <v>128740</v>
      </c>
      <c r="K14" s="13" t="s">
        <v>105</v>
      </c>
      <c r="L14" s="15" t="s">
        <v>123</v>
      </c>
    </row>
    <row r="15" customFormat="false" ht="30" hidden="false" customHeight="true" outlineLevel="0" collapsed="false">
      <c r="A15" s="13" t="s">
        <v>124</v>
      </c>
      <c r="B15" s="14" t="n">
        <v>44834</v>
      </c>
      <c r="C15" s="13" t="s">
        <v>100</v>
      </c>
      <c r="D15" s="15" t="s">
        <v>125</v>
      </c>
      <c r="E15" s="13" t="s">
        <v>126</v>
      </c>
      <c r="F15" s="15" t="s">
        <v>127</v>
      </c>
      <c r="G15" s="13" t="s">
        <v>128</v>
      </c>
      <c r="H15" s="16" t="n">
        <v>21150</v>
      </c>
      <c r="I15" s="16" t="n">
        <v>0</v>
      </c>
      <c r="J15" s="16" t="n">
        <f aca="false">H15+I15</f>
        <v>21150</v>
      </c>
      <c r="K15" s="13" t="s">
        <v>105</v>
      </c>
      <c r="L15" s="15" t="s">
        <v>129</v>
      </c>
    </row>
    <row r="16" customFormat="false" ht="30" hidden="false" customHeight="true" outlineLevel="0" collapsed="false">
      <c r="A16" s="13" t="s">
        <v>130</v>
      </c>
      <c r="B16" s="14" t="n">
        <v>44899</v>
      </c>
      <c r="C16" s="13" t="s">
        <v>131</v>
      </c>
      <c r="D16" s="15" t="s">
        <v>132</v>
      </c>
      <c r="E16" s="13" t="s">
        <v>133</v>
      </c>
      <c r="F16" s="15" t="s">
        <v>134</v>
      </c>
      <c r="G16" s="13" t="s">
        <v>128</v>
      </c>
      <c r="H16" s="16" t="n">
        <v>386200</v>
      </c>
      <c r="I16" s="16" t="n">
        <v>0</v>
      </c>
      <c r="J16" s="16" t="n">
        <f aca="false">H16+I16</f>
        <v>386200</v>
      </c>
      <c r="K16" s="13" t="s">
        <v>105</v>
      </c>
      <c r="L16" s="15" t="s">
        <v>135</v>
      </c>
    </row>
    <row r="17" customFormat="false" ht="30" hidden="false" customHeight="true" outlineLevel="0" collapsed="false">
      <c r="A17" s="13" t="s">
        <v>136</v>
      </c>
      <c r="B17" s="14" t="n">
        <v>44971</v>
      </c>
      <c r="C17" s="13" t="s">
        <v>131</v>
      </c>
      <c r="D17" s="15" t="s">
        <v>137</v>
      </c>
      <c r="E17" s="13" t="s">
        <v>138</v>
      </c>
      <c r="F17" s="15" t="s">
        <v>139</v>
      </c>
      <c r="G17" s="13" t="s">
        <v>122</v>
      </c>
      <c r="H17" s="16" t="n">
        <v>894300</v>
      </c>
      <c r="I17" s="16" t="n">
        <v>0</v>
      </c>
      <c r="J17" s="16" t="n">
        <f aca="false">H17+I17</f>
        <v>894300</v>
      </c>
      <c r="K17" s="13" t="s">
        <v>105</v>
      </c>
      <c r="L17" s="15" t="s">
        <v>140</v>
      </c>
    </row>
    <row r="18" customFormat="false" ht="30" hidden="false" customHeight="true" outlineLevel="0" collapsed="false">
      <c r="A18" s="13" t="s">
        <v>141</v>
      </c>
      <c r="B18" s="14" t="n">
        <v>45042</v>
      </c>
      <c r="C18" s="13" t="s">
        <v>131</v>
      </c>
      <c r="D18" s="15" t="s">
        <v>142</v>
      </c>
      <c r="E18" s="13" t="s">
        <v>102</v>
      </c>
      <c r="F18" s="15" t="s">
        <v>143</v>
      </c>
      <c r="G18" s="13" t="s">
        <v>111</v>
      </c>
      <c r="H18" s="16" t="n">
        <v>64800</v>
      </c>
      <c r="I18" s="16" t="n">
        <v>0</v>
      </c>
      <c r="J18" s="16" t="n">
        <f aca="false">H18+I18</f>
        <v>64800</v>
      </c>
      <c r="K18" s="13" t="s">
        <v>105</v>
      </c>
      <c r="L18" s="15" t="s">
        <v>144</v>
      </c>
    </row>
    <row r="19" customFormat="false" ht="30" hidden="false" customHeight="true" outlineLevel="0" collapsed="false">
      <c r="A19" s="13" t="s">
        <v>145</v>
      </c>
      <c r="B19" s="14" t="n">
        <v>45115</v>
      </c>
      <c r="C19" s="13" t="s">
        <v>131</v>
      </c>
      <c r="D19" s="15" t="s">
        <v>146</v>
      </c>
      <c r="E19" s="13" t="s">
        <v>147</v>
      </c>
      <c r="F19" s="15" t="s">
        <v>148</v>
      </c>
      <c r="G19" s="13" t="s">
        <v>104</v>
      </c>
      <c r="H19" s="16" t="n">
        <v>209650</v>
      </c>
      <c r="I19" s="16" t="n">
        <v>0</v>
      </c>
      <c r="J19" s="16" t="n">
        <f aca="false">H19+I19</f>
        <v>209650</v>
      </c>
      <c r="K19" s="13" t="s">
        <v>105</v>
      </c>
      <c r="L19" s="15" t="s">
        <v>149</v>
      </c>
    </row>
    <row r="20" customFormat="false" ht="30" hidden="false" customHeight="true" outlineLevel="0" collapsed="false">
      <c r="A20" s="13" t="s">
        <v>150</v>
      </c>
      <c r="B20" s="13" t="s">
        <v>151</v>
      </c>
      <c r="C20" s="13" t="s">
        <v>131</v>
      </c>
      <c r="D20" s="15" t="s">
        <v>152</v>
      </c>
      <c r="E20" s="13" t="s">
        <v>153</v>
      </c>
      <c r="F20" s="15" t="s">
        <v>154</v>
      </c>
      <c r="G20" s="13" t="s">
        <v>104</v>
      </c>
      <c r="H20" s="16" t="n">
        <v>15600</v>
      </c>
      <c r="I20" s="16" t="n">
        <v>0</v>
      </c>
      <c r="J20" s="16" t="n">
        <f aca="false">H20+I20</f>
        <v>15600</v>
      </c>
      <c r="K20" s="13" t="s">
        <v>105</v>
      </c>
      <c r="L20" s="15" t="s">
        <v>155</v>
      </c>
    </row>
    <row r="21" customFormat="false" ht="30" hidden="false" customHeight="true" outlineLevel="0" collapsed="false">
      <c r="A21" s="13" t="s">
        <v>156</v>
      </c>
      <c r="B21" s="14" t="n">
        <v>45218</v>
      </c>
      <c r="C21" s="13" t="s">
        <v>157</v>
      </c>
      <c r="D21" s="15" t="s">
        <v>158</v>
      </c>
      <c r="E21" s="13" t="s">
        <v>159</v>
      </c>
      <c r="F21" s="15" t="s">
        <v>160</v>
      </c>
      <c r="G21" s="13" t="s">
        <v>122</v>
      </c>
      <c r="H21" s="16" t="n">
        <v>1240000</v>
      </c>
      <c r="I21" s="16" t="n">
        <v>0</v>
      </c>
      <c r="J21" s="16" t="n">
        <f aca="false">H21+I21</f>
        <v>1240000</v>
      </c>
      <c r="K21" s="13" t="s">
        <v>105</v>
      </c>
      <c r="L21" s="15" t="s">
        <v>161</v>
      </c>
    </row>
    <row r="22" customFormat="false" ht="30" hidden="false" customHeight="true" outlineLevel="0" collapsed="false">
      <c r="A22" s="13" t="s">
        <v>162</v>
      </c>
      <c r="B22" s="14" t="n">
        <v>45313</v>
      </c>
      <c r="C22" s="13" t="s">
        <v>157</v>
      </c>
      <c r="D22" s="15" t="s">
        <v>163</v>
      </c>
      <c r="E22" s="13" t="s">
        <v>164</v>
      </c>
      <c r="F22" s="15" t="s">
        <v>165</v>
      </c>
      <c r="G22" s="13" t="s">
        <v>104</v>
      </c>
      <c r="H22" s="16" t="n">
        <v>173400</v>
      </c>
      <c r="I22" s="16" t="n">
        <v>0</v>
      </c>
      <c r="J22" s="16" t="n">
        <f aca="false">H22+I22</f>
        <v>173400</v>
      </c>
      <c r="K22" s="13" t="s">
        <v>105</v>
      </c>
      <c r="L22" s="15" t="s">
        <v>166</v>
      </c>
    </row>
    <row r="23" customFormat="false" ht="30" hidden="false" customHeight="true" outlineLevel="0" collapsed="false">
      <c r="A23" s="13" t="s">
        <v>167</v>
      </c>
      <c r="B23" s="14" t="n">
        <v>45362</v>
      </c>
      <c r="C23" s="13" t="s">
        <v>157</v>
      </c>
      <c r="D23" s="15" t="s">
        <v>168</v>
      </c>
      <c r="E23" s="13" t="s">
        <v>133</v>
      </c>
      <c r="F23" s="15" t="s">
        <v>169</v>
      </c>
      <c r="G23" s="13" t="s">
        <v>128</v>
      </c>
      <c r="H23" s="16" t="n">
        <v>742000</v>
      </c>
      <c r="I23" s="16" t="n">
        <v>0</v>
      </c>
      <c r="J23" s="16" t="n">
        <f aca="false">H23+I23</f>
        <v>742000</v>
      </c>
      <c r="K23" s="13" t="s">
        <v>105</v>
      </c>
      <c r="L23" s="15" t="s">
        <v>170</v>
      </c>
    </row>
    <row r="24" customFormat="false" ht="30" hidden="false" customHeight="true" outlineLevel="0" collapsed="false">
      <c r="A24" s="13" t="s">
        <v>171</v>
      </c>
      <c r="B24" s="14" t="n">
        <v>45442</v>
      </c>
      <c r="C24" s="13" t="s">
        <v>157</v>
      </c>
      <c r="D24" s="15" t="s">
        <v>172</v>
      </c>
      <c r="E24" s="13" t="s">
        <v>173</v>
      </c>
      <c r="F24" s="15" t="s">
        <v>174</v>
      </c>
      <c r="G24" s="13" t="s">
        <v>122</v>
      </c>
      <c r="H24" s="16" t="n">
        <v>318900</v>
      </c>
      <c r="I24" s="16" t="n">
        <v>0</v>
      </c>
      <c r="J24" s="16" t="n">
        <f aca="false">H24+I24</f>
        <v>318900</v>
      </c>
      <c r="K24" s="13" t="s">
        <v>105</v>
      </c>
      <c r="L24" s="15" t="s">
        <v>175</v>
      </c>
    </row>
    <row r="25" customFormat="false" ht="30" hidden="false" customHeight="true" outlineLevel="0" collapsed="false">
      <c r="A25" s="13" t="s">
        <v>176</v>
      </c>
      <c r="B25" s="14" t="n">
        <v>45511</v>
      </c>
      <c r="C25" s="13" t="s">
        <v>157</v>
      </c>
      <c r="D25" s="15" t="s">
        <v>177</v>
      </c>
      <c r="E25" s="13" t="s">
        <v>133</v>
      </c>
      <c r="F25" s="15" t="s">
        <v>178</v>
      </c>
      <c r="G25" s="13" t="s">
        <v>128</v>
      </c>
      <c r="H25" s="16" t="n">
        <v>465300</v>
      </c>
      <c r="I25" s="16" t="n">
        <v>0</v>
      </c>
      <c r="J25" s="16" t="n">
        <f aca="false">H25+I25</f>
        <v>465300</v>
      </c>
      <c r="K25" s="13" t="s">
        <v>105</v>
      </c>
      <c r="L25" s="15" t="s">
        <v>179</v>
      </c>
    </row>
    <row r="26" customFormat="false" ht="30" hidden="false" customHeight="true" outlineLevel="0" collapsed="false">
      <c r="A26" s="13" t="s">
        <v>180</v>
      </c>
      <c r="B26" s="14" t="n">
        <v>45672</v>
      </c>
      <c r="C26" s="13" t="s">
        <v>181</v>
      </c>
      <c r="D26" s="15" t="s">
        <v>182</v>
      </c>
      <c r="E26" s="13" t="s">
        <v>102</v>
      </c>
      <c r="F26" s="15" t="s">
        <v>183</v>
      </c>
      <c r="G26" s="13" t="s">
        <v>104</v>
      </c>
      <c r="H26" s="16" t="n">
        <v>58200</v>
      </c>
      <c r="I26" s="16" t="n">
        <v>0</v>
      </c>
      <c r="J26" s="16" t="n">
        <f aca="false">H26+I26</f>
        <v>58200</v>
      </c>
      <c r="K26" s="13" t="s">
        <v>105</v>
      </c>
      <c r="L26" s="15" t="s">
        <v>184</v>
      </c>
    </row>
    <row r="27" customFormat="false" ht="30" hidden="false" customHeight="true" outlineLevel="0" collapsed="false">
      <c r="A27" s="13" t="s">
        <v>185</v>
      </c>
      <c r="B27" s="14" t="n">
        <v>45750</v>
      </c>
      <c r="C27" s="13" t="s">
        <v>181</v>
      </c>
      <c r="D27" s="15" t="s">
        <v>186</v>
      </c>
      <c r="E27" s="13" t="s">
        <v>187</v>
      </c>
      <c r="F27" s="15" t="s">
        <v>188</v>
      </c>
      <c r="G27" s="13" t="s">
        <v>111</v>
      </c>
      <c r="H27" s="16" t="n">
        <v>96500</v>
      </c>
      <c r="I27" s="16" t="n">
        <v>0</v>
      </c>
      <c r="J27" s="16" t="n">
        <f aca="false">H27+I27</f>
        <v>96500</v>
      </c>
      <c r="K27" s="13" t="s">
        <v>105</v>
      </c>
      <c r="L27" s="15" t="s">
        <v>189</v>
      </c>
    </row>
    <row r="28" customFormat="false" ht="30" hidden="false" customHeight="true" outlineLevel="0" collapsed="false">
      <c r="A28" s="13" t="s">
        <v>190</v>
      </c>
      <c r="B28" s="14" t="n">
        <v>45862</v>
      </c>
      <c r="C28" s="13" t="s">
        <v>181</v>
      </c>
      <c r="D28" s="15" t="s">
        <v>191</v>
      </c>
      <c r="E28" s="13" t="s">
        <v>192</v>
      </c>
      <c r="F28" s="15" t="s">
        <v>193</v>
      </c>
      <c r="G28" s="13" t="s">
        <v>104</v>
      </c>
      <c r="H28" s="16" t="n">
        <v>41800</v>
      </c>
      <c r="I28" s="16" t="n">
        <v>0</v>
      </c>
      <c r="J28" s="16" t="n">
        <f aca="false">H28+I28</f>
        <v>41800</v>
      </c>
      <c r="K28" s="13" t="s">
        <v>105</v>
      </c>
      <c r="L28" s="15" t="s">
        <v>194</v>
      </c>
    </row>
    <row r="29" customFormat="false" ht="30" hidden="false" customHeight="true" outlineLevel="0" collapsed="false">
      <c r="A29" s="13" t="s">
        <v>195</v>
      </c>
      <c r="B29" s="14" t="n">
        <v>45963</v>
      </c>
      <c r="C29" s="13" t="s">
        <v>196</v>
      </c>
      <c r="D29" s="15" t="s">
        <v>197</v>
      </c>
      <c r="E29" s="13" t="s">
        <v>102</v>
      </c>
      <c r="F29" s="15" t="s">
        <v>198</v>
      </c>
      <c r="G29" s="13" t="s">
        <v>111</v>
      </c>
      <c r="H29" s="16" t="n">
        <v>88300</v>
      </c>
      <c r="I29" s="16" t="n">
        <v>12000</v>
      </c>
      <c r="J29" s="16" t="n">
        <f aca="false">H29+I29</f>
        <v>100300</v>
      </c>
      <c r="K29" s="13" t="s">
        <v>199</v>
      </c>
      <c r="L29" s="15" t="s">
        <v>200</v>
      </c>
    </row>
    <row r="30" customFormat="false" ht="30" hidden="false" customHeight="true" outlineLevel="0" collapsed="false">
      <c r="A30" s="13" t="s">
        <v>201</v>
      </c>
      <c r="B30" s="14" t="n">
        <v>46071</v>
      </c>
      <c r="C30" s="13" t="s">
        <v>196</v>
      </c>
      <c r="D30" s="15" t="s">
        <v>202</v>
      </c>
      <c r="E30" s="13" t="s">
        <v>133</v>
      </c>
      <c r="F30" s="15" t="s">
        <v>203</v>
      </c>
      <c r="G30" s="13" t="s">
        <v>104</v>
      </c>
      <c r="H30" s="16" t="n">
        <v>0</v>
      </c>
      <c r="I30" s="16" t="n">
        <v>128000</v>
      </c>
      <c r="J30" s="16" t="n">
        <f aca="false">H30+I30</f>
        <v>128000</v>
      </c>
      <c r="K30" s="13" t="s">
        <v>199</v>
      </c>
      <c r="L30" s="15" t="s">
        <v>204</v>
      </c>
    </row>
    <row r="31" customFormat="false" ht="30" hidden="false" customHeight="true" outlineLevel="0" collapsed="false">
      <c r="A31" s="13" t="s">
        <v>205</v>
      </c>
      <c r="B31" s="14" t="n">
        <v>46121</v>
      </c>
      <c r="C31" s="13" t="s">
        <v>196</v>
      </c>
      <c r="D31" s="15" t="s">
        <v>206</v>
      </c>
      <c r="E31" s="13" t="s">
        <v>115</v>
      </c>
      <c r="F31" s="15" t="s">
        <v>207</v>
      </c>
      <c r="G31" s="13" t="s">
        <v>104</v>
      </c>
      <c r="H31" s="16" t="n">
        <v>214000</v>
      </c>
      <c r="I31" s="16" t="n">
        <v>60000</v>
      </c>
      <c r="J31" s="16" t="n">
        <f aca="false">H31+I31</f>
        <v>274000</v>
      </c>
      <c r="K31" s="13" t="s">
        <v>199</v>
      </c>
      <c r="L31" s="15" t="s">
        <v>208</v>
      </c>
    </row>
    <row r="32" customFormat="false" ht="30" hidden="false" customHeight="true" outlineLevel="0" collapsed="false">
      <c r="A32" s="13" t="s">
        <v>209</v>
      </c>
      <c r="B32" s="14" t="n">
        <v>46200</v>
      </c>
      <c r="C32" s="13" t="s">
        <v>196</v>
      </c>
      <c r="D32" s="15" t="s">
        <v>210</v>
      </c>
      <c r="E32" s="13" t="s">
        <v>211</v>
      </c>
      <c r="F32" s="15" t="s">
        <v>212</v>
      </c>
      <c r="G32" s="13" t="s">
        <v>122</v>
      </c>
      <c r="H32" s="16" t="n">
        <v>0</v>
      </c>
      <c r="I32" s="16" t="n">
        <v>175000</v>
      </c>
      <c r="J32" s="16" t="n">
        <f aca="false">H32+I32</f>
        <v>175000</v>
      </c>
      <c r="K32" s="13" t="s">
        <v>199</v>
      </c>
      <c r="L32" s="15" t="s">
        <v>213</v>
      </c>
    </row>
    <row r="33" customFormat="false" ht="15" hidden="false" customHeight="false" outlineLevel="0" collapsed="false">
      <c r="A33" s="9" t="s">
        <v>214</v>
      </c>
      <c r="D33" s="17" t="s">
        <v>215</v>
      </c>
      <c r="H33" s="18" t="n">
        <f aca="false">SUM(H11:H32)</f>
        <v>5857660</v>
      </c>
      <c r="I33" s="18" t="n">
        <f aca="false">SUM(I11:I32)</f>
        <v>375000</v>
      </c>
      <c r="J33" s="18" t="n">
        <f aca="false">SUM(J11:J32)</f>
        <v>6232660</v>
      </c>
    </row>
    <row r="35" customFormat="false" ht="15" hidden="false" customHeight="false" outlineLevel="0" collapsed="false">
      <c r="A35" s="19" t="s">
        <v>216</v>
      </c>
    </row>
    <row r="36" customFormat="false" ht="15" hidden="false" customHeight="false" outlineLevel="0" collapsed="false">
      <c r="A36" s="20" t="s">
        <v>217</v>
      </c>
    </row>
    <row r="37" customFormat="false" ht="15" hidden="false" customHeight="false" outlineLevel="0" collapsed="false">
      <c r="A37" s="20" t="s">
        <v>218</v>
      </c>
    </row>
    <row r="38" customFormat="false" ht="15" hidden="false" customHeight="false" outlineLevel="0" collapsed="false">
      <c r="A38" s="20" t="s">
        <v>219</v>
      </c>
    </row>
    <row r="39" customFormat="false" ht="15" hidden="false" customHeight="false" outlineLevel="0" collapsed="false">
      <c r="A39" s="20" t="s">
        <v>220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0234375" defaultRowHeight="15" customHeight="false"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34"/>
    <col collapsed="false" customWidth="true" hidden="false" outlineLevel="0" max="4" min="4" style="0" width="15"/>
    <col collapsed="false" customWidth="true" hidden="false" outlineLevel="0" max="6" min="5" style="0" width="20"/>
    <col collapsed="false" customWidth="true" hidden="false" outlineLevel="0" max="7" min="7" style="0" width="24"/>
    <col collapsed="false" customWidth="true" hidden="false" outlineLevel="0" max="8" min="8" style="0" width="14"/>
    <col collapsed="false" customWidth="true" hidden="false" outlineLevel="0" max="9" min="9" style="0" width="19"/>
    <col collapsed="false" customWidth="true" hidden="false" outlineLevel="0" max="10" min="10" style="0" width="12"/>
    <col collapsed="false" customWidth="true" hidden="false" outlineLevel="0" max="12" min="11" style="0" width="22"/>
    <col collapsed="false" customWidth="true" hidden="false" outlineLevel="0" max="13" min="13" style="0" width="12"/>
    <col collapsed="false" customWidth="true" hidden="false" outlineLevel="0" max="14" min="14" style="0" width="16"/>
    <col collapsed="false" customWidth="true" hidden="false" outlineLevel="0" max="15" min="15" style="0" width="52"/>
  </cols>
  <sheetData>
    <row r="1" customFormat="false" ht="30" hidden="false" customHeight="true" outlineLevel="0" collapsed="false">
      <c r="A1" s="21" t="s">
        <v>221</v>
      </c>
      <c r="B1" s="21" t="s">
        <v>222</v>
      </c>
      <c r="C1" s="21" t="s">
        <v>223</v>
      </c>
      <c r="D1" s="21" t="s">
        <v>224</v>
      </c>
      <c r="E1" s="21" t="s">
        <v>225</v>
      </c>
      <c r="F1" s="21" t="s">
        <v>226</v>
      </c>
      <c r="G1" s="21" t="s">
        <v>227</v>
      </c>
      <c r="H1" s="21" t="s">
        <v>228</v>
      </c>
      <c r="I1" s="21" t="s">
        <v>229</v>
      </c>
      <c r="J1" s="21" t="s">
        <v>230</v>
      </c>
      <c r="K1" s="21" t="s">
        <v>231</v>
      </c>
      <c r="L1" s="21" t="s">
        <v>232</v>
      </c>
      <c r="M1" s="21" t="s">
        <v>233</v>
      </c>
      <c r="N1" s="21" t="s">
        <v>234</v>
      </c>
      <c r="O1" s="21" t="s">
        <v>235</v>
      </c>
    </row>
    <row r="2" customFormat="false" ht="15" hidden="false" customHeight="false" outlineLevel="0" collapsed="false">
      <c r="A2" s="22" t="s">
        <v>236</v>
      </c>
      <c r="B2" s="22" t="s">
        <v>237</v>
      </c>
      <c r="C2" s="22" t="s">
        <v>238</v>
      </c>
      <c r="D2" s="22" t="s">
        <v>239</v>
      </c>
      <c r="E2" s="22" t="s">
        <v>240</v>
      </c>
      <c r="F2" s="22" t="s">
        <v>241</v>
      </c>
      <c r="G2" s="22" t="s">
        <v>242</v>
      </c>
      <c r="H2" s="22" t="s">
        <v>243</v>
      </c>
      <c r="I2" s="22" t="s">
        <v>244</v>
      </c>
      <c r="J2" s="22" t="s">
        <v>245</v>
      </c>
      <c r="K2" s="23" t="n">
        <v>42800000</v>
      </c>
      <c r="L2" s="23" t="n">
        <v>28600000</v>
      </c>
      <c r="M2" s="22" t="s">
        <v>246</v>
      </c>
      <c r="N2" s="22" t="s">
        <v>247</v>
      </c>
      <c r="O2" s="4" t="s">
        <v>248</v>
      </c>
    </row>
    <row r="3" customFormat="false" ht="24" hidden="false" customHeight="false" outlineLevel="0" collapsed="false">
      <c r="A3" s="22" t="s">
        <v>249</v>
      </c>
      <c r="B3" s="22" t="s">
        <v>250</v>
      </c>
      <c r="C3" s="22" t="s">
        <v>251</v>
      </c>
      <c r="D3" s="22" t="s">
        <v>252</v>
      </c>
      <c r="E3" s="22" t="s">
        <v>240</v>
      </c>
      <c r="F3" s="22" t="s">
        <v>241</v>
      </c>
      <c r="G3" s="22" t="s">
        <v>253</v>
      </c>
      <c r="H3" s="22" t="s">
        <v>243</v>
      </c>
      <c r="I3" s="22" t="s">
        <v>254</v>
      </c>
      <c r="J3" s="22" t="s">
        <v>245</v>
      </c>
      <c r="K3" s="23" t="n">
        <v>61400000</v>
      </c>
      <c r="L3" s="23" t="n">
        <v>39200000</v>
      </c>
      <c r="M3" s="22" t="s">
        <v>255</v>
      </c>
      <c r="N3" s="22" t="s">
        <v>256</v>
      </c>
      <c r="O3" s="4" t="s">
        <v>257</v>
      </c>
    </row>
    <row r="4" customFormat="false" ht="15" hidden="false" customHeight="false" outlineLevel="0" collapsed="false">
      <c r="A4" s="22" t="s">
        <v>258</v>
      </c>
      <c r="B4" s="22" t="s">
        <v>259</v>
      </c>
      <c r="C4" s="22" t="s">
        <v>260</v>
      </c>
      <c r="D4" s="22" t="s">
        <v>261</v>
      </c>
      <c r="E4" s="22" t="s">
        <v>262</v>
      </c>
      <c r="F4" s="22" t="s">
        <v>241</v>
      </c>
      <c r="G4" s="22" t="s">
        <v>242</v>
      </c>
      <c r="H4" s="22" t="s">
        <v>243</v>
      </c>
      <c r="I4" s="22" t="s">
        <v>254</v>
      </c>
      <c r="J4" s="22" t="s">
        <v>245</v>
      </c>
      <c r="K4" s="23" t="n">
        <v>38900000</v>
      </c>
      <c r="L4" s="23" t="n">
        <v>24100000</v>
      </c>
      <c r="M4" s="22" t="s">
        <v>263</v>
      </c>
      <c r="N4" s="22" t="s">
        <v>247</v>
      </c>
      <c r="O4" s="4" t="s">
        <v>264</v>
      </c>
    </row>
    <row r="5" customFormat="false" ht="15" hidden="false" customHeight="false" outlineLevel="0" collapsed="false">
      <c r="A5" s="22" t="s">
        <v>265</v>
      </c>
      <c r="B5" s="22" t="s">
        <v>266</v>
      </c>
      <c r="C5" s="22" t="s">
        <v>267</v>
      </c>
      <c r="D5" s="22" t="s">
        <v>268</v>
      </c>
      <c r="E5" s="22" t="s">
        <v>269</v>
      </c>
      <c r="F5" s="22" t="s">
        <v>241</v>
      </c>
      <c r="G5" s="22" t="s">
        <v>253</v>
      </c>
      <c r="H5" s="22" t="s">
        <v>243</v>
      </c>
      <c r="I5" s="22" t="s">
        <v>254</v>
      </c>
      <c r="J5" s="22" t="s">
        <v>245</v>
      </c>
      <c r="K5" s="23" t="n">
        <v>33500000</v>
      </c>
      <c r="L5" s="23" t="n">
        <v>21800000</v>
      </c>
      <c r="M5" s="22" t="s">
        <v>270</v>
      </c>
      <c r="N5" s="22" t="s">
        <v>256</v>
      </c>
      <c r="O5" s="4" t="s">
        <v>271</v>
      </c>
    </row>
    <row r="6" customFormat="false" ht="15" hidden="false" customHeight="false" outlineLevel="0" collapsed="false">
      <c r="A6" s="22" t="s">
        <v>272</v>
      </c>
      <c r="B6" s="22" t="s">
        <v>273</v>
      </c>
      <c r="C6" s="22" t="s">
        <v>274</v>
      </c>
      <c r="D6" s="22" t="s">
        <v>275</v>
      </c>
      <c r="E6" s="22" t="s">
        <v>276</v>
      </c>
      <c r="F6" s="22" t="s">
        <v>277</v>
      </c>
      <c r="G6" s="22" t="s">
        <v>253</v>
      </c>
      <c r="H6" s="22" t="s">
        <v>243</v>
      </c>
      <c r="I6" s="22" t="s">
        <v>254</v>
      </c>
      <c r="J6" s="22" t="s">
        <v>245</v>
      </c>
      <c r="K6" s="23" t="n">
        <v>29700000</v>
      </c>
      <c r="L6" s="23" t="n">
        <v>18900000</v>
      </c>
      <c r="M6" s="22" t="s">
        <v>278</v>
      </c>
      <c r="N6" s="22" t="s">
        <v>256</v>
      </c>
      <c r="O6" s="4" t="s">
        <v>279</v>
      </c>
    </row>
    <row r="7" customFormat="false" ht="15" hidden="false" customHeight="false" outlineLevel="0" collapsed="false">
      <c r="A7" s="22" t="s">
        <v>280</v>
      </c>
      <c r="B7" s="22" t="s">
        <v>281</v>
      </c>
      <c r="C7" s="22" t="s">
        <v>282</v>
      </c>
      <c r="D7" s="22" t="s">
        <v>283</v>
      </c>
      <c r="E7" s="22" t="s">
        <v>284</v>
      </c>
      <c r="F7" s="22" t="s">
        <v>277</v>
      </c>
      <c r="G7" s="22" t="s">
        <v>285</v>
      </c>
      <c r="H7" s="22" t="s">
        <v>243</v>
      </c>
      <c r="I7" s="22" t="s">
        <v>286</v>
      </c>
      <c r="J7" s="22" t="s">
        <v>245</v>
      </c>
      <c r="K7" s="23" t="n">
        <v>12400000</v>
      </c>
      <c r="L7" s="23" t="n">
        <v>7900000</v>
      </c>
      <c r="M7" s="22" t="s">
        <v>287</v>
      </c>
      <c r="N7" s="22" t="s">
        <v>247</v>
      </c>
      <c r="O7" s="4" t="s">
        <v>288</v>
      </c>
    </row>
    <row r="8" customFormat="false" ht="15" hidden="false" customHeight="false" outlineLevel="0" collapsed="false">
      <c r="A8" s="22" t="s">
        <v>289</v>
      </c>
      <c r="B8" s="22" t="s">
        <v>290</v>
      </c>
      <c r="C8" s="22" t="s">
        <v>291</v>
      </c>
      <c r="D8" s="22" t="s">
        <v>292</v>
      </c>
      <c r="E8" s="22" t="s">
        <v>293</v>
      </c>
      <c r="F8" s="22" t="s">
        <v>294</v>
      </c>
      <c r="G8" s="22" t="s">
        <v>242</v>
      </c>
      <c r="H8" s="22" t="s">
        <v>295</v>
      </c>
      <c r="I8" s="22" t="s">
        <v>286</v>
      </c>
      <c r="J8" s="22" t="s">
        <v>245</v>
      </c>
      <c r="K8" s="23" t="n">
        <v>14600000</v>
      </c>
      <c r="L8" s="23" t="n">
        <v>9800000</v>
      </c>
      <c r="M8" s="22" t="s">
        <v>296</v>
      </c>
      <c r="N8" s="22" t="s">
        <v>247</v>
      </c>
      <c r="O8" s="4" t="s">
        <v>297</v>
      </c>
    </row>
    <row r="9" customFormat="false" ht="15" hidden="false" customHeight="false" outlineLevel="0" collapsed="false">
      <c r="A9" s="22" t="s">
        <v>298</v>
      </c>
      <c r="B9" s="22" t="s">
        <v>299</v>
      </c>
      <c r="C9" s="22" t="s">
        <v>300</v>
      </c>
      <c r="D9" s="22" t="s">
        <v>301</v>
      </c>
      <c r="E9" s="22" t="s">
        <v>240</v>
      </c>
      <c r="F9" s="22" t="s">
        <v>241</v>
      </c>
      <c r="G9" s="22" t="s">
        <v>302</v>
      </c>
      <c r="H9" s="22" t="s">
        <v>303</v>
      </c>
      <c r="I9" s="22" t="s">
        <v>244</v>
      </c>
      <c r="J9" s="22" t="s">
        <v>245</v>
      </c>
      <c r="K9" s="23" t="n">
        <v>8900000</v>
      </c>
      <c r="L9" s="23" t="n">
        <v>4200000</v>
      </c>
      <c r="M9" s="22" t="s">
        <v>304</v>
      </c>
      <c r="N9" s="22" t="s">
        <v>305</v>
      </c>
      <c r="O9" s="4" t="s">
        <v>306</v>
      </c>
    </row>
    <row r="10" customFormat="false" ht="15" hidden="false" customHeight="false" outlineLevel="0" collapsed="false">
      <c r="A10" s="22" t="s">
        <v>307</v>
      </c>
      <c r="B10" s="22" t="s">
        <v>308</v>
      </c>
      <c r="C10" s="22" t="s">
        <v>309</v>
      </c>
      <c r="D10" s="22" t="s">
        <v>310</v>
      </c>
      <c r="E10" s="22" t="s">
        <v>310</v>
      </c>
      <c r="F10" s="22" t="s">
        <v>294</v>
      </c>
      <c r="G10" s="22" t="s">
        <v>253</v>
      </c>
      <c r="H10" s="22" t="s">
        <v>243</v>
      </c>
      <c r="I10" s="22" t="s">
        <v>254</v>
      </c>
      <c r="J10" s="22" t="s">
        <v>245</v>
      </c>
      <c r="K10" s="23" t="n">
        <v>18200000</v>
      </c>
      <c r="L10" s="23" t="n">
        <v>11400000</v>
      </c>
      <c r="M10" s="22" t="s">
        <v>311</v>
      </c>
      <c r="N10" s="22" t="s">
        <v>256</v>
      </c>
      <c r="O10" s="4" t="s">
        <v>312</v>
      </c>
    </row>
    <row r="11" customFormat="false" ht="15" hidden="false" customHeight="false" outlineLevel="0" collapsed="false">
      <c r="A11" s="22" t="s">
        <v>313</v>
      </c>
      <c r="B11" s="22" t="s">
        <v>314</v>
      </c>
      <c r="C11" s="22" t="s">
        <v>315</v>
      </c>
      <c r="D11" s="22" t="s">
        <v>316</v>
      </c>
      <c r="E11" s="22" t="s">
        <v>317</v>
      </c>
      <c r="F11" s="22" t="s">
        <v>241</v>
      </c>
      <c r="G11" s="22" t="s">
        <v>318</v>
      </c>
      <c r="H11" s="22" t="s">
        <v>319</v>
      </c>
      <c r="I11" s="22" t="s">
        <v>254</v>
      </c>
      <c r="J11" s="22" t="s">
        <v>245</v>
      </c>
      <c r="K11" s="23" t="n">
        <v>7800000</v>
      </c>
      <c r="L11" s="23" t="n">
        <v>2900000</v>
      </c>
      <c r="M11" s="22" t="s">
        <v>320</v>
      </c>
      <c r="N11" s="22" t="s">
        <v>247</v>
      </c>
      <c r="O11" s="4" t="s">
        <v>321</v>
      </c>
    </row>
    <row r="12" customFormat="false" ht="15" hidden="false" customHeight="false" outlineLevel="0" collapsed="false">
      <c r="A12" s="22" t="s">
        <v>322</v>
      </c>
      <c r="B12" s="22" t="s">
        <v>323</v>
      </c>
      <c r="C12" s="22" t="s">
        <v>324</v>
      </c>
      <c r="D12" s="22" t="s">
        <v>325</v>
      </c>
      <c r="E12" s="22" t="s">
        <v>276</v>
      </c>
      <c r="F12" s="22" t="s">
        <v>277</v>
      </c>
      <c r="G12" s="22" t="s">
        <v>318</v>
      </c>
      <c r="H12" s="22" t="s">
        <v>319</v>
      </c>
      <c r="I12" s="22" t="s">
        <v>254</v>
      </c>
      <c r="J12" s="22" t="s">
        <v>245</v>
      </c>
      <c r="K12" s="23" t="n">
        <v>6400000</v>
      </c>
      <c r="L12" s="23" t="n">
        <v>2200000</v>
      </c>
      <c r="M12" s="22" t="s">
        <v>278</v>
      </c>
      <c r="N12" s="22" t="s">
        <v>256</v>
      </c>
      <c r="O12" s="4" t="s">
        <v>326</v>
      </c>
    </row>
    <row r="13" customFormat="false" ht="15" hidden="false" customHeight="false" outlineLevel="0" collapsed="false">
      <c r="A13" s="22" t="s">
        <v>327</v>
      </c>
      <c r="B13" s="22" t="s">
        <v>328</v>
      </c>
      <c r="C13" s="22" t="s">
        <v>329</v>
      </c>
      <c r="D13" s="22" t="s">
        <v>330</v>
      </c>
      <c r="E13" s="22" t="s">
        <v>269</v>
      </c>
      <c r="F13" s="22" t="s">
        <v>241</v>
      </c>
      <c r="G13" s="22" t="s">
        <v>331</v>
      </c>
      <c r="H13" s="22" t="s">
        <v>319</v>
      </c>
      <c r="I13" s="22" t="s">
        <v>244</v>
      </c>
      <c r="J13" s="22" t="s">
        <v>245</v>
      </c>
      <c r="K13" s="23" t="n">
        <v>9200000</v>
      </c>
      <c r="L13" s="23" t="n">
        <v>5100000</v>
      </c>
      <c r="M13" s="22" t="s">
        <v>270</v>
      </c>
      <c r="N13" s="22" t="s">
        <v>305</v>
      </c>
      <c r="O13" s="4" t="s">
        <v>332</v>
      </c>
    </row>
    <row r="14" customFormat="false" ht="15" hidden="false" customHeight="false" outlineLevel="0" collapsed="false">
      <c r="A14" s="22" t="s">
        <v>333</v>
      </c>
      <c r="B14" s="22" t="s">
        <v>334</v>
      </c>
      <c r="C14" s="22" t="s">
        <v>335</v>
      </c>
      <c r="D14" s="22" t="s">
        <v>268</v>
      </c>
      <c r="E14" s="22" t="s">
        <v>269</v>
      </c>
      <c r="F14" s="22" t="s">
        <v>241</v>
      </c>
      <c r="G14" s="22" t="s">
        <v>331</v>
      </c>
      <c r="H14" s="22" t="s">
        <v>319</v>
      </c>
      <c r="I14" s="22" t="s">
        <v>244</v>
      </c>
      <c r="J14" s="22" t="s">
        <v>245</v>
      </c>
      <c r="K14" s="23" t="n">
        <v>5600000</v>
      </c>
      <c r="L14" s="23" t="n">
        <v>3300000</v>
      </c>
      <c r="M14" s="22" t="s">
        <v>270</v>
      </c>
      <c r="N14" s="22" t="s">
        <v>256</v>
      </c>
      <c r="O14" s="4" t="s">
        <v>336</v>
      </c>
    </row>
    <row r="15" customFormat="false" ht="15" hidden="false" customHeight="false" outlineLevel="0" collapsed="false">
      <c r="A15" s="22" t="s">
        <v>337</v>
      </c>
      <c r="B15" s="22" t="s">
        <v>338</v>
      </c>
      <c r="C15" s="22" t="s">
        <v>339</v>
      </c>
      <c r="D15" s="22" t="s">
        <v>340</v>
      </c>
      <c r="E15" s="22" t="s">
        <v>262</v>
      </c>
      <c r="F15" s="22" t="s">
        <v>241</v>
      </c>
      <c r="G15" s="22" t="s">
        <v>341</v>
      </c>
      <c r="H15" s="22" t="s">
        <v>319</v>
      </c>
      <c r="I15" s="22" t="s">
        <v>342</v>
      </c>
      <c r="J15" s="22" t="s">
        <v>245</v>
      </c>
      <c r="K15" s="23" t="n">
        <v>11800000</v>
      </c>
      <c r="L15" s="23" t="n">
        <v>6700000</v>
      </c>
      <c r="M15" s="22" t="s">
        <v>263</v>
      </c>
      <c r="N15" s="22" t="s">
        <v>247</v>
      </c>
      <c r="O15" s="4" t="s">
        <v>343</v>
      </c>
    </row>
    <row r="16" customFormat="false" ht="15" hidden="false" customHeight="false" outlineLevel="0" collapsed="false">
      <c r="A16" s="22" t="s">
        <v>344</v>
      </c>
      <c r="B16" s="22" t="s">
        <v>345</v>
      </c>
      <c r="C16" s="22" t="s">
        <v>346</v>
      </c>
      <c r="D16" s="22" t="s">
        <v>347</v>
      </c>
      <c r="E16" s="22" t="s">
        <v>276</v>
      </c>
      <c r="F16" s="22" t="s">
        <v>277</v>
      </c>
      <c r="G16" s="22" t="s">
        <v>341</v>
      </c>
      <c r="H16" s="22" t="s">
        <v>319</v>
      </c>
      <c r="I16" s="22" t="s">
        <v>348</v>
      </c>
      <c r="J16" s="22" t="s">
        <v>245</v>
      </c>
      <c r="K16" s="23" t="n">
        <v>13900000</v>
      </c>
      <c r="L16" s="23" t="n">
        <v>8100000</v>
      </c>
      <c r="M16" s="22" t="s">
        <v>278</v>
      </c>
      <c r="N16" s="22" t="s">
        <v>247</v>
      </c>
      <c r="O16" s="4" t="s">
        <v>349</v>
      </c>
    </row>
    <row r="17" customFormat="false" ht="15" hidden="false" customHeight="false" outlineLevel="0" collapsed="false">
      <c r="A17" s="22" t="s">
        <v>350</v>
      </c>
      <c r="B17" s="22" t="s">
        <v>351</v>
      </c>
      <c r="C17" s="22" t="s">
        <v>352</v>
      </c>
      <c r="D17" s="22" t="s">
        <v>353</v>
      </c>
      <c r="E17" s="22" t="s">
        <v>354</v>
      </c>
      <c r="F17" s="22" t="s">
        <v>294</v>
      </c>
      <c r="G17" s="22" t="s">
        <v>355</v>
      </c>
      <c r="H17" s="22" t="s">
        <v>319</v>
      </c>
      <c r="I17" s="22" t="s">
        <v>254</v>
      </c>
      <c r="J17" s="22" t="s">
        <v>245</v>
      </c>
      <c r="K17" s="23" t="n">
        <v>10200000</v>
      </c>
      <c r="L17" s="23" t="n">
        <v>5900000</v>
      </c>
      <c r="M17" s="22" t="s">
        <v>356</v>
      </c>
      <c r="N17" s="22" t="s">
        <v>256</v>
      </c>
      <c r="O17" s="4" t="s">
        <v>357</v>
      </c>
    </row>
    <row r="18" customFormat="false" ht="15" hidden="false" customHeight="false" outlineLevel="0" collapsed="false">
      <c r="A18" s="22" t="s">
        <v>358</v>
      </c>
      <c r="B18" s="22" t="s">
        <v>359</v>
      </c>
      <c r="C18" s="22" t="s">
        <v>360</v>
      </c>
      <c r="D18" s="22" t="s">
        <v>361</v>
      </c>
      <c r="E18" s="22" t="s">
        <v>354</v>
      </c>
      <c r="F18" s="22" t="s">
        <v>294</v>
      </c>
      <c r="G18" s="22" t="s">
        <v>331</v>
      </c>
      <c r="H18" s="22" t="s">
        <v>319</v>
      </c>
      <c r="I18" s="22" t="s">
        <v>244</v>
      </c>
      <c r="J18" s="22" t="s">
        <v>245</v>
      </c>
      <c r="K18" s="23" t="n">
        <v>4300000</v>
      </c>
      <c r="L18" s="23" t="n">
        <v>2400000</v>
      </c>
      <c r="M18" s="22" t="s">
        <v>356</v>
      </c>
      <c r="N18" s="22" t="s">
        <v>305</v>
      </c>
      <c r="O18" s="4" t="s">
        <v>362</v>
      </c>
    </row>
    <row r="19" customFormat="false" ht="15" hidden="false" customHeight="false" outlineLevel="0" collapsed="false">
      <c r="A19" s="22" t="s">
        <v>363</v>
      </c>
      <c r="B19" s="22" t="s">
        <v>364</v>
      </c>
      <c r="C19" s="22" t="s">
        <v>365</v>
      </c>
      <c r="D19" s="22" t="s">
        <v>366</v>
      </c>
      <c r="E19" s="22" t="s">
        <v>367</v>
      </c>
      <c r="F19" s="22" t="s">
        <v>241</v>
      </c>
      <c r="G19" s="22" t="s">
        <v>331</v>
      </c>
      <c r="H19" s="22" t="s">
        <v>319</v>
      </c>
      <c r="I19" s="22" t="s">
        <v>244</v>
      </c>
      <c r="J19" s="22" t="s">
        <v>245</v>
      </c>
      <c r="K19" s="23" t="n">
        <v>6900000</v>
      </c>
      <c r="L19" s="23" t="n">
        <v>3800000</v>
      </c>
      <c r="M19" s="22" t="s">
        <v>246</v>
      </c>
      <c r="N19" s="22" t="s">
        <v>247</v>
      </c>
      <c r="O19" s="4"/>
    </row>
    <row r="20" customFormat="false" ht="15" hidden="false" customHeight="false" outlineLevel="0" collapsed="false">
      <c r="A20" s="22" t="s">
        <v>368</v>
      </c>
      <c r="B20" s="22" t="s">
        <v>369</v>
      </c>
      <c r="C20" s="22" t="s">
        <v>370</v>
      </c>
      <c r="D20" s="22" t="s">
        <v>371</v>
      </c>
      <c r="E20" s="22" t="s">
        <v>372</v>
      </c>
      <c r="F20" s="22" t="s">
        <v>241</v>
      </c>
      <c r="G20" s="22" t="s">
        <v>355</v>
      </c>
      <c r="H20" s="22" t="s">
        <v>319</v>
      </c>
      <c r="I20" s="22" t="s">
        <v>254</v>
      </c>
      <c r="J20" s="22" t="s">
        <v>245</v>
      </c>
      <c r="K20" s="23" t="n">
        <v>7400000</v>
      </c>
      <c r="L20" s="23" t="n">
        <v>4100000</v>
      </c>
      <c r="M20" s="22" t="s">
        <v>255</v>
      </c>
      <c r="N20" s="22" t="s">
        <v>256</v>
      </c>
      <c r="O20" s="4"/>
    </row>
    <row r="21" customFormat="false" ht="15" hidden="false" customHeight="false" outlineLevel="0" collapsed="false">
      <c r="A21" s="22" t="s">
        <v>373</v>
      </c>
      <c r="B21" s="22" t="s">
        <v>374</v>
      </c>
      <c r="C21" s="22" t="s">
        <v>375</v>
      </c>
      <c r="D21" s="22" t="s">
        <v>376</v>
      </c>
      <c r="E21" s="22" t="s">
        <v>377</v>
      </c>
      <c r="F21" s="22" t="s">
        <v>241</v>
      </c>
      <c r="G21" s="22" t="s">
        <v>331</v>
      </c>
      <c r="H21" s="22" t="s">
        <v>319</v>
      </c>
      <c r="I21" s="22" t="s">
        <v>244</v>
      </c>
      <c r="J21" s="22" t="s">
        <v>378</v>
      </c>
      <c r="K21" s="23" t="n">
        <v>3100000</v>
      </c>
      <c r="L21" s="23" t="n">
        <v>1700000</v>
      </c>
      <c r="M21" s="22" t="s">
        <v>311</v>
      </c>
      <c r="N21" s="22" t="s">
        <v>256</v>
      </c>
      <c r="O21" s="4" t="s">
        <v>379</v>
      </c>
    </row>
    <row r="22" customFormat="false" ht="15" hidden="false" customHeight="false" outlineLevel="0" collapsed="false">
      <c r="A22" s="22" t="s">
        <v>380</v>
      </c>
      <c r="B22" s="22" t="s">
        <v>381</v>
      </c>
      <c r="C22" s="22" t="s">
        <v>382</v>
      </c>
      <c r="D22" s="22" t="s">
        <v>383</v>
      </c>
      <c r="E22" s="22" t="s">
        <v>384</v>
      </c>
      <c r="F22" s="22" t="s">
        <v>241</v>
      </c>
      <c r="G22" s="22" t="s">
        <v>331</v>
      </c>
      <c r="H22" s="22" t="s">
        <v>319</v>
      </c>
      <c r="I22" s="22" t="s">
        <v>244</v>
      </c>
      <c r="J22" s="22" t="s">
        <v>245</v>
      </c>
      <c r="K22" s="23" t="n">
        <v>4800000</v>
      </c>
      <c r="L22" s="23" t="n">
        <v>2600000</v>
      </c>
      <c r="M22" s="22" t="s">
        <v>270</v>
      </c>
      <c r="N22" s="22" t="s">
        <v>247</v>
      </c>
      <c r="O22" s="4"/>
    </row>
    <row r="23" customFormat="false" ht="15" hidden="false" customHeight="false" outlineLevel="0" collapsed="false">
      <c r="A23" s="22" t="s">
        <v>385</v>
      </c>
      <c r="B23" s="22" t="s">
        <v>386</v>
      </c>
      <c r="C23" s="22" t="s">
        <v>387</v>
      </c>
      <c r="D23" s="22" t="s">
        <v>388</v>
      </c>
      <c r="E23" s="22" t="s">
        <v>389</v>
      </c>
      <c r="F23" s="22" t="s">
        <v>241</v>
      </c>
      <c r="G23" s="22" t="s">
        <v>355</v>
      </c>
      <c r="H23" s="22" t="s">
        <v>319</v>
      </c>
      <c r="I23" s="22" t="s">
        <v>254</v>
      </c>
      <c r="J23" s="22" t="s">
        <v>245</v>
      </c>
      <c r="K23" s="23" t="n">
        <v>3900000</v>
      </c>
      <c r="L23" s="23" t="n">
        <v>2100000</v>
      </c>
      <c r="M23" s="22" t="s">
        <v>390</v>
      </c>
      <c r="N23" s="22" t="s">
        <v>247</v>
      </c>
      <c r="O23" s="4"/>
    </row>
    <row r="24" customFormat="false" ht="15" hidden="false" customHeight="false" outlineLevel="0" collapsed="false">
      <c r="A24" s="22" t="s">
        <v>391</v>
      </c>
      <c r="B24" s="22" t="s">
        <v>392</v>
      </c>
      <c r="C24" s="22" t="s">
        <v>393</v>
      </c>
      <c r="D24" s="22" t="s">
        <v>394</v>
      </c>
      <c r="E24" s="22" t="s">
        <v>395</v>
      </c>
      <c r="F24" s="22" t="s">
        <v>241</v>
      </c>
      <c r="G24" s="22" t="s">
        <v>331</v>
      </c>
      <c r="H24" s="22" t="s">
        <v>319</v>
      </c>
      <c r="I24" s="22" t="s">
        <v>286</v>
      </c>
      <c r="J24" s="22" t="s">
        <v>378</v>
      </c>
      <c r="K24" s="23" t="n">
        <v>2600000</v>
      </c>
      <c r="L24" s="23" t="n">
        <v>1400000</v>
      </c>
      <c r="M24" s="22" t="s">
        <v>304</v>
      </c>
      <c r="N24" s="22" t="s">
        <v>256</v>
      </c>
      <c r="O24" s="4" t="s">
        <v>396</v>
      </c>
    </row>
    <row r="25" customFormat="false" ht="15" hidden="false" customHeight="false" outlineLevel="0" collapsed="false">
      <c r="A25" s="22" t="s">
        <v>397</v>
      </c>
      <c r="B25" s="22" t="s">
        <v>398</v>
      </c>
      <c r="C25" s="22" t="s">
        <v>399</v>
      </c>
      <c r="D25" s="22" t="s">
        <v>400</v>
      </c>
      <c r="E25" s="22" t="s">
        <v>401</v>
      </c>
      <c r="F25" s="22" t="s">
        <v>402</v>
      </c>
      <c r="G25" s="22" t="s">
        <v>355</v>
      </c>
      <c r="H25" s="22" t="s">
        <v>319</v>
      </c>
      <c r="I25" s="22" t="s">
        <v>254</v>
      </c>
      <c r="J25" s="22" t="s">
        <v>245</v>
      </c>
      <c r="K25" s="23" t="n">
        <v>8600000</v>
      </c>
      <c r="L25" s="23" t="n">
        <v>4900000</v>
      </c>
      <c r="M25" s="22" t="s">
        <v>246</v>
      </c>
      <c r="N25" s="22" t="s">
        <v>247</v>
      </c>
      <c r="O25" s="4" t="s">
        <v>403</v>
      </c>
    </row>
    <row r="26" customFormat="false" ht="15" hidden="false" customHeight="false" outlineLevel="0" collapsed="false">
      <c r="A26" s="22" t="s">
        <v>404</v>
      </c>
      <c r="B26" s="22" t="s">
        <v>405</v>
      </c>
      <c r="C26" s="22" t="s">
        <v>406</v>
      </c>
      <c r="D26" s="22" t="s">
        <v>407</v>
      </c>
      <c r="E26" s="22" t="s">
        <v>408</v>
      </c>
      <c r="F26" s="22" t="s">
        <v>402</v>
      </c>
      <c r="G26" s="22" t="s">
        <v>331</v>
      </c>
      <c r="H26" s="22" t="s">
        <v>319</v>
      </c>
      <c r="I26" s="22" t="s">
        <v>286</v>
      </c>
      <c r="J26" s="22" t="s">
        <v>245</v>
      </c>
      <c r="K26" s="23" t="n">
        <v>3400000</v>
      </c>
      <c r="L26" s="23" t="n">
        <v>1900000</v>
      </c>
      <c r="M26" s="22" t="s">
        <v>320</v>
      </c>
      <c r="N26" s="22" t="s">
        <v>247</v>
      </c>
      <c r="O26" s="4" t="s">
        <v>409</v>
      </c>
    </row>
    <row r="27" customFormat="false" ht="15" hidden="false" customHeight="false" outlineLevel="0" collapsed="false">
      <c r="A27" s="22" t="s">
        <v>410</v>
      </c>
      <c r="B27" s="22" t="s">
        <v>411</v>
      </c>
      <c r="C27" s="22" t="s">
        <v>412</v>
      </c>
      <c r="D27" s="22" t="s">
        <v>413</v>
      </c>
      <c r="E27" s="22" t="s">
        <v>284</v>
      </c>
      <c r="F27" s="22" t="s">
        <v>277</v>
      </c>
      <c r="G27" s="22" t="s">
        <v>331</v>
      </c>
      <c r="H27" s="22" t="s">
        <v>319</v>
      </c>
      <c r="I27" s="22" t="s">
        <v>286</v>
      </c>
      <c r="J27" s="22" t="s">
        <v>245</v>
      </c>
      <c r="K27" s="23" t="n">
        <v>5200000</v>
      </c>
      <c r="L27" s="23" t="n">
        <v>2800000</v>
      </c>
      <c r="M27" s="22" t="s">
        <v>287</v>
      </c>
      <c r="N27" s="22" t="s">
        <v>256</v>
      </c>
      <c r="O27" s="4" t="s">
        <v>414</v>
      </c>
    </row>
    <row r="28" customFormat="false" ht="15" hidden="false" customHeight="false" outlineLevel="0" collapsed="false">
      <c r="A28" s="22" t="s">
        <v>415</v>
      </c>
      <c r="B28" s="22" t="s">
        <v>416</v>
      </c>
      <c r="C28" s="22" t="s">
        <v>417</v>
      </c>
      <c r="D28" s="22" t="s">
        <v>418</v>
      </c>
      <c r="E28" s="22" t="s">
        <v>419</v>
      </c>
      <c r="F28" s="22" t="s">
        <v>277</v>
      </c>
      <c r="G28" s="22" t="s">
        <v>331</v>
      </c>
      <c r="H28" s="22" t="s">
        <v>319</v>
      </c>
      <c r="I28" s="22" t="s">
        <v>244</v>
      </c>
      <c r="J28" s="22" t="s">
        <v>245</v>
      </c>
      <c r="K28" s="23" t="n">
        <v>2900000</v>
      </c>
      <c r="L28" s="23" t="n">
        <v>1600000</v>
      </c>
      <c r="M28" s="22" t="s">
        <v>390</v>
      </c>
      <c r="N28" s="22" t="s">
        <v>247</v>
      </c>
      <c r="O28" s="4" t="s">
        <v>420</v>
      </c>
    </row>
    <row r="29" customFormat="false" ht="24" hidden="false" customHeight="false" outlineLevel="0" collapsed="false">
      <c r="A29" s="22" t="s">
        <v>421</v>
      </c>
      <c r="B29" s="22" t="s">
        <v>422</v>
      </c>
      <c r="C29" s="22" t="s">
        <v>423</v>
      </c>
      <c r="D29" s="22" t="s">
        <v>292</v>
      </c>
      <c r="E29" s="22" t="s">
        <v>293</v>
      </c>
      <c r="F29" s="22" t="s">
        <v>294</v>
      </c>
      <c r="G29" s="22" t="s">
        <v>331</v>
      </c>
      <c r="H29" s="22" t="s">
        <v>319</v>
      </c>
      <c r="I29" s="22" t="s">
        <v>286</v>
      </c>
      <c r="J29" s="22" t="s">
        <v>378</v>
      </c>
      <c r="K29" s="23" t="n">
        <v>3800000</v>
      </c>
      <c r="L29" s="23" t="n">
        <v>2200000</v>
      </c>
      <c r="M29" s="22" t="s">
        <v>296</v>
      </c>
      <c r="N29" s="22" t="s">
        <v>305</v>
      </c>
      <c r="O29" s="4" t="s">
        <v>424</v>
      </c>
    </row>
    <row r="30" customFormat="false" ht="15" hidden="false" customHeight="false" outlineLevel="0" collapsed="false">
      <c r="A30" s="22" t="s">
        <v>425</v>
      </c>
      <c r="B30" s="22" t="s">
        <v>426</v>
      </c>
      <c r="C30" s="22" t="s">
        <v>427</v>
      </c>
      <c r="D30" s="22" t="s">
        <v>310</v>
      </c>
      <c r="E30" s="22" t="s">
        <v>310</v>
      </c>
      <c r="F30" s="22" t="s">
        <v>294</v>
      </c>
      <c r="G30" s="22" t="s">
        <v>341</v>
      </c>
      <c r="H30" s="22" t="s">
        <v>319</v>
      </c>
      <c r="I30" s="22" t="s">
        <v>428</v>
      </c>
      <c r="J30" s="22" t="s">
        <v>245</v>
      </c>
      <c r="K30" s="23" t="n">
        <v>6100000</v>
      </c>
      <c r="L30" s="23" t="n">
        <v>3400000</v>
      </c>
      <c r="M30" s="22" t="s">
        <v>311</v>
      </c>
      <c r="N30" s="22" t="s">
        <v>256</v>
      </c>
      <c r="O30" s="4"/>
    </row>
    <row r="31" customFormat="false" ht="15" hidden="false" customHeight="false" outlineLevel="0" collapsed="false">
      <c r="A31" s="22" t="s">
        <v>429</v>
      </c>
      <c r="B31" s="22" t="s">
        <v>430</v>
      </c>
      <c r="C31" s="22" t="s">
        <v>431</v>
      </c>
      <c r="D31" s="22" t="s">
        <v>432</v>
      </c>
      <c r="E31" s="22" t="s">
        <v>433</v>
      </c>
      <c r="F31" s="22" t="s">
        <v>294</v>
      </c>
      <c r="G31" s="22" t="s">
        <v>355</v>
      </c>
      <c r="H31" s="22" t="s">
        <v>319</v>
      </c>
      <c r="I31" s="22" t="s">
        <v>254</v>
      </c>
      <c r="J31" s="22" t="s">
        <v>245</v>
      </c>
      <c r="K31" s="23" t="n">
        <v>4700000</v>
      </c>
      <c r="L31" s="23" t="n">
        <v>2700000</v>
      </c>
      <c r="M31" s="22" t="s">
        <v>304</v>
      </c>
      <c r="N31" s="22" t="s">
        <v>247</v>
      </c>
      <c r="O31" s="4" t="s">
        <v>434</v>
      </c>
    </row>
    <row r="32" customFormat="false" ht="15" hidden="false" customHeight="false" outlineLevel="0" collapsed="false">
      <c r="A32" s="22" t="s">
        <v>435</v>
      </c>
      <c r="B32" s="22" t="s">
        <v>436</v>
      </c>
      <c r="C32" s="22" t="s">
        <v>437</v>
      </c>
      <c r="D32" s="22" t="s">
        <v>438</v>
      </c>
      <c r="E32" s="22" t="s">
        <v>439</v>
      </c>
      <c r="F32" s="22" t="s">
        <v>294</v>
      </c>
      <c r="G32" s="22" t="s">
        <v>331</v>
      </c>
      <c r="H32" s="22" t="s">
        <v>319</v>
      </c>
      <c r="I32" s="22" t="s">
        <v>244</v>
      </c>
      <c r="J32" s="22" t="s">
        <v>378</v>
      </c>
      <c r="K32" s="23" t="n">
        <v>2200000</v>
      </c>
      <c r="L32" s="23" t="n">
        <v>1300000</v>
      </c>
      <c r="M32" s="22" t="s">
        <v>356</v>
      </c>
      <c r="N32" s="22" t="s">
        <v>256</v>
      </c>
      <c r="O32" s="4" t="s">
        <v>440</v>
      </c>
    </row>
    <row r="33" customFormat="false" ht="15" hidden="false" customHeight="false" outlineLevel="0" collapsed="false">
      <c r="A33" s="22" t="s">
        <v>441</v>
      </c>
      <c r="B33" s="22" t="s">
        <v>442</v>
      </c>
      <c r="C33" s="22" t="s">
        <v>443</v>
      </c>
      <c r="D33" s="22" t="s">
        <v>444</v>
      </c>
      <c r="E33" s="22" t="s">
        <v>445</v>
      </c>
      <c r="F33" s="22" t="s">
        <v>277</v>
      </c>
      <c r="G33" s="22" t="s">
        <v>355</v>
      </c>
      <c r="H33" s="22" t="s">
        <v>319</v>
      </c>
      <c r="I33" s="22" t="s">
        <v>254</v>
      </c>
      <c r="J33" s="22" t="s">
        <v>245</v>
      </c>
      <c r="K33" s="23" t="n">
        <v>5300000</v>
      </c>
      <c r="L33" s="23" t="n">
        <v>3000000</v>
      </c>
      <c r="M33" s="22" t="s">
        <v>278</v>
      </c>
      <c r="N33" s="22" t="s">
        <v>247</v>
      </c>
      <c r="O33"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0234375" defaultRowHeight="15" customHeight="false" zeroHeight="false" outlineLevelRow="0" outlineLevelCol="0"/>
  <cols>
    <col collapsed="false" customWidth="true" hidden="false" outlineLevel="0" max="1" min="1" style="0" width="18"/>
    <col collapsed="false" customWidth="true" hidden="false" outlineLevel="0" max="2" min="2" style="0" width="14"/>
    <col collapsed="false" customWidth="true" hidden="false" outlineLevel="0" max="3" min="3" style="0" width="48"/>
    <col collapsed="false" customWidth="true" hidden="false" outlineLevel="0" max="4" min="4" style="0" width="22"/>
    <col collapsed="false" customWidth="true" hidden="false" outlineLevel="0" max="5" min="5" style="0" width="30"/>
    <col collapsed="false" customWidth="true" hidden="false" outlineLevel="0" max="6" min="6" style="0" width="15"/>
    <col collapsed="false" customWidth="true" hidden="false" outlineLevel="0" max="7" min="7" style="0" width="13"/>
    <col collapsed="false" customWidth="true" hidden="false" outlineLevel="0" max="9" min="8" style="0" width="30"/>
    <col collapsed="false" customWidth="true" hidden="false" outlineLevel="0" max="10" min="10" style="0" width="18"/>
    <col collapsed="false" customWidth="true" hidden="false" outlineLevel="0" max="11" min="11" style="0" width="34"/>
    <col collapsed="false" customWidth="true" hidden="false" outlineLevel="0" max="12" min="12" style="0" width="20"/>
    <col collapsed="false" customWidth="true" hidden="false" outlineLevel="0" max="13" min="13" style="0" width="12"/>
    <col collapsed="false" customWidth="true" hidden="false" outlineLevel="0" max="15" min="14" style="0" width="18"/>
  </cols>
  <sheetData>
    <row r="1" customFormat="false" ht="30" hidden="false" customHeight="true" outlineLevel="0" collapsed="false">
      <c r="A1" s="21" t="s">
        <v>446</v>
      </c>
      <c r="B1" s="21" t="s">
        <v>447</v>
      </c>
      <c r="C1" s="21" t="s">
        <v>448</v>
      </c>
      <c r="D1" s="21" t="s">
        <v>449</v>
      </c>
      <c r="E1" s="21" t="s">
        <v>450</v>
      </c>
      <c r="F1" s="21" t="s">
        <v>451</v>
      </c>
      <c r="G1" s="21" t="s">
        <v>452</v>
      </c>
      <c r="H1" s="21" t="s">
        <v>453</v>
      </c>
      <c r="I1" s="21" t="s">
        <v>454</v>
      </c>
      <c r="J1" s="21" t="s">
        <v>455</v>
      </c>
      <c r="K1" s="21" t="s">
        <v>456</v>
      </c>
      <c r="L1" s="21" t="s">
        <v>457</v>
      </c>
      <c r="M1" s="21" t="s">
        <v>458</v>
      </c>
      <c r="N1" s="21" t="s">
        <v>229</v>
      </c>
      <c r="O1" s="21" t="s">
        <v>459</v>
      </c>
    </row>
    <row r="2" customFormat="false" ht="15" hidden="false" customHeight="false" outlineLevel="0" collapsed="false">
      <c r="A2" s="10" t="s">
        <v>460</v>
      </c>
      <c r="B2" s="11" t="n">
        <v>45839</v>
      </c>
      <c r="C2" s="10" t="s">
        <v>461</v>
      </c>
      <c r="D2" s="10" t="s">
        <v>462</v>
      </c>
      <c r="E2" s="10" t="s">
        <v>463</v>
      </c>
      <c r="F2" s="24" t="n">
        <v>6</v>
      </c>
      <c r="G2" s="10" t="s">
        <v>128</v>
      </c>
      <c r="H2" s="10" t="s">
        <v>464</v>
      </c>
      <c r="I2" s="10" t="s">
        <v>465</v>
      </c>
      <c r="J2" s="10" t="s">
        <v>269</v>
      </c>
      <c r="K2" s="10" t="s">
        <v>466</v>
      </c>
      <c r="L2" s="10" t="s">
        <v>276</v>
      </c>
      <c r="M2" s="10" t="s">
        <v>467</v>
      </c>
      <c r="N2" s="10" t="s">
        <v>428</v>
      </c>
      <c r="O2" s="24" t="n">
        <v>4292900</v>
      </c>
    </row>
    <row r="3" customFormat="false" ht="15" hidden="false" customHeight="false" outlineLevel="0" collapsed="false">
      <c r="A3" s="10" t="s">
        <v>468</v>
      </c>
      <c r="B3" s="11" t="n">
        <v>45853</v>
      </c>
      <c r="C3" s="10" t="s">
        <v>469</v>
      </c>
      <c r="D3" s="10" t="s">
        <v>462</v>
      </c>
      <c r="E3" s="10" t="s">
        <v>470</v>
      </c>
      <c r="F3" s="24" t="n">
        <v>15</v>
      </c>
      <c r="G3" s="10" t="s">
        <v>128</v>
      </c>
      <c r="H3" s="10" t="s">
        <v>471</v>
      </c>
      <c r="I3" s="10" t="s">
        <v>472</v>
      </c>
      <c r="J3" s="10" t="s">
        <v>293</v>
      </c>
      <c r="K3" s="10" t="s">
        <v>473</v>
      </c>
      <c r="L3" s="10" t="s">
        <v>408</v>
      </c>
      <c r="M3" s="10" t="s">
        <v>474</v>
      </c>
      <c r="N3" s="10" t="s">
        <v>475</v>
      </c>
      <c r="O3" s="24" t="n">
        <v>4796000</v>
      </c>
    </row>
    <row r="4" customFormat="false" ht="15" hidden="false" customHeight="false" outlineLevel="0" collapsed="false">
      <c r="A4" s="10" t="s">
        <v>476</v>
      </c>
      <c r="B4" s="11" t="n">
        <v>45855</v>
      </c>
      <c r="C4" s="10" t="s">
        <v>477</v>
      </c>
      <c r="D4" s="10" t="s">
        <v>478</v>
      </c>
      <c r="E4" s="10" t="s">
        <v>479</v>
      </c>
      <c r="F4" s="24" t="n">
        <v>22</v>
      </c>
      <c r="G4" s="10" t="s">
        <v>111</v>
      </c>
      <c r="H4" s="10" t="s">
        <v>480</v>
      </c>
      <c r="I4" s="10" t="s">
        <v>465</v>
      </c>
      <c r="J4" s="10" t="s">
        <v>269</v>
      </c>
      <c r="K4" s="10" t="s">
        <v>481</v>
      </c>
      <c r="L4" s="10" t="s">
        <v>419</v>
      </c>
      <c r="M4" s="10" t="s">
        <v>482</v>
      </c>
      <c r="N4" s="10" t="s">
        <v>286</v>
      </c>
      <c r="O4" s="24" t="n">
        <v>67700</v>
      </c>
    </row>
    <row r="5" customFormat="false" ht="15" hidden="false" customHeight="false" outlineLevel="0" collapsed="false">
      <c r="A5" s="10" t="s">
        <v>483</v>
      </c>
      <c r="B5" s="11" t="n">
        <v>45858</v>
      </c>
      <c r="C5" s="10" t="s">
        <v>484</v>
      </c>
      <c r="D5" s="10" t="s">
        <v>485</v>
      </c>
      <c r="E5" s="10" t="s">
        <v>479</v>
      </c>
      <c r="F5" s="24" t="n">
        <v>6</v>
      </c>
      <c r="G5" s="10" t="s">
        <v>104</v>
      </c>
      <c r="H5" s="10" t="s">
        <v>480</v>
      </c>
      <c r="I5" s="10" t="s">
        <v>465</v>
      </c>
      <c r="J5" s="10" t="s">
        <v>269</v>
      </c>
      <c r="K5" s="10" t="s">
        <v>338</v>
      </c>
      <c r="L5" s="10" t="s">
        <v>262</v>
      </c>
      <c r="M5" s="10" t="s">
        <v>486</v>
      </c>
      <c r="N5" s="10" t="s">
        <v>244</v>
      </c>
      <c r="O5" s="24" t="n">
        <v>444300</v>
      </c>
    </row>
    <row r="6" customFormat="false" ht="15" hidden="false" customHeight="false" outlineLevel="0" collapsed="false">
      <c r="A6" s="10" t="s">
        <v>487</v>
      </c>
      <c r="B6" s="11" t="n">
        <v>45861</v>
      </c>
      <c r="C6" s="10" t="s">
        <v>488</v>
      </c>
      <c r="D6" s="10" t="s">
        <v>489</v>
      </c>
      <c r="E6" s="10" t="s">
        <v>490</v>
      </c>
      <c r="F6" s="24" t="n">
        <v>14</v>
      </c>
      <c r="G6" s="10" t="s">
        <v>491</v>
      </c>
      <c r="H6" s="10" t="s">
        <v>492</v>
      </c>
      <c r="I6" s="10" t="s">
        <v>465</v>
      </c>
      <c r="J6" s="10" t="s">
        <v>269</v>
      </c>
      <c r="K6" s="10" t="s">
        <v>430</v>
      </c>
      <c r="L6" s="10" t="s">
        <v>433</v>
      </c>
      <c r="M6" s="10" t="s">
        <v>482</v>
      </c>
      <c r="N6" s="10" t="s">
        <v>244</v>
      </c>
      <c r="O6" s="24" t="n">
        <v>196900</v>
      </c>
    </row>
    <row r="7" customFormat="false" ht="15" hidden="false" customHeight="false" outlineLevel="0" collapsed="false">
      <c r="A7" s="10" t="s">
        <v>493</v>
      </c>
      <c r="B7" s="11" t="n">
        <v>45861</v>
      </c>
      <c r="C7" s="10" t="s">
        <v>494</v>
      </c>
      <c r="D7" s="10" t="s">
        <v>495</v>
      </c>
      <c r="E7" s="10" t="s">
        <v>490</v>
      </c>
      <c r="F7" s="24" t="n">
        <v>17</v>
      </c>
      <c r="G7" s="10" t="s">
        <v>128</v>
      </c>
      <c r="H7" s="10" t="s">
        <v>496</v>
      </c>
      <c r="I7" s="10" t="s">
        <v>237</v>
      </c>
      <c r="J7" s="10" t="s">
        <v>240</v>
      </c>
      <c r="K7" s="10" t="s">
        <v>466</v>
      </c>
      <c r="L7" s="10" t="s">
        <v>276</v>
      </c>
      <c r="M7" s="10" t="s">
        <v>497</v>
      </c>
      <c r="N7" s="10" t="s">
        <v>286</v>
      </c>
      <c r="O7" s="24" t="n">
        <v>94900</v>
      </c>
    </row>
    <row r="8" customFormat="false" ht="15" hidden="false" customHeight="false" outlineLevel="0" collapsed="false">
      <c r="A8" s="10" t="s">
        <v>498</v>
      </c>
      <c r="B8" s="11" t="n">
        <v>45862</v>
      </c>
      <c r="C8" s="10" t="s">
        <v>499</v>
      </c>
      <c r="D8" s="10" t="s">
        <v>462</v>
      </c>
      <c r="E8" s="10" t="s">
        <v>500</v>
      </c>
      <c r="F8" s="24" t="n">
        <v>2</v>
      </c>
      <c r="G8" s="10" t="s">
        <v>104</v>
      </c>
      <c r="H8" s="10" t="s">
        <v>480</v>
      </c>
      <c r="I8" s="10" t="s">
        <v>472</v>
      </c>
      <c r="J8" s="10" t="s">
        <v>293</v>
      </c>
      <c r="K8" s="10" t="s">
        <v>465</v>
      </c>
      <c r="L8" s="10" t="s">
        <v>269</v>
      </c>
      <c r="M8" s="10" t="s">
        <v>482</v>
      </c>
      <c r="N8" s="10" t="s">
        <v>428</v>
      </c>
      <c r="O8" s="24" t="n">
        <v>109200</v>
      </c>
    </row>
    <row r="9" customFormat="false" ht="15" hidden="false" customHeight="false" outlineLevel="0" collapsed="false">
      <c r="A9" s="10" t="s">
        <v>501</v>
      </c>
      <c r="B9" s="11" t="n">
        <v>45863</v>
      </c>
      <c r="C9" s="10" t="s">
        <v>502</v>
      </c>
      <c r="D9" s="10" t="s">
        <v>489</v>
      </c>
      <c r="E9" s="10" t="s">
        <v>479</v>
      </c>
      <c r="F9" s="24" t="n">
        <v>9</v>
      </c>
      <c r="G9" s="10" t="s">
        <v>104</v>
      </c>
      <c r="H9" s="10" t="s">
        <v>503</v>
      </c>
      <c r="I9" s="10" t="s">
        <v>308</v>
      </c>
      <c r="J9" s="10" t="s">
        <v>310</v>
      </c>
      <c r="K9" s="10" t="s">
        <v>504</v>
      </c>
      <c r="L9" s="10" t="s">
        <v>384</v>
      </c>
      <c r="M9" s="10" t="s">
        <v>474</v>
      </c>
      <c r="N9" s="10" t="s">
        <v>244</v>
      </c>
      <c r="O9" s="24" t="n">
        <v>183500</v>
      </c>
    </row>
    <row r="10" customFormat="false" ht="15" hidden="false" customHeight="false" outlineLevel="0" collapsed="false">
      <c r="A10" s="10" t="s">
        <v>505</v>
      </c>
      <c r="B10" s="11" t="n">
        <v>45864</v>
      </c>
      <c r="C10" s="10" t="s">
        <v>506</v>
      </c>
      <c r="D10" s="10" t="s">
        <v>485</v>
      </c>
      <c r="E10" s="10" t="s">
        <v>507</v>
      </c>
      <c r="F10" s="24" t="n">
        <v>18</v>
      </c>
      <c r="G10" s="10" t="s">
        <v>128</v>
      </c>
      <c r="H10" s="10" t="s">
        <v>496</v>
      </c>
      <c r="I10" s="10" t="s">
        <v>237</v>
      </c>
      <c r="J10" s="10" t="s">
        <v>240</v>
      </c>
      <c r="K10" s="10" t="s">
        <v>466</v>
      </c>
      <c r="L10" s="10" t="s">
        <v>276</v>
      </c>
      <c r="M10" s="10" t="s">
        <v>497</v>
      </c>
      <c r="N10" s="10" t="s">
        <v>428</v>
      </c>
      <c r="O10" s="24" t="n">
        <v>1424200</v>
      </c>
    </row>
    <row r="11" customFormat="false" ht="15" hidden="false" customHeight="false" outlineLevel="0" collapsed="false">
      <c r="A11" s="10" t="s">
        <v>508</v>
      </c>
      <c r="B11" s="11" t="n">
        <v>45867</v>
      </c>
      <c r="C11" s="10" t="s">
        <v>499</v>
      </c>
      <c r="D11" s="10" t="s">
        <v>462</v>
      </c>
      <c r="E11" s="10" t="s">
        <v>500</v>
      </c>
      <c r="F11" s="24" t="n">
        <v>12</v>
      </c>
      <c r="G11" s="10" t="s">
        <v>104</v>
      </c>
      <c r="H11" s="10" t="s">
        <v>496</v>
      </c>
      <c r="I11" s="10" t="s">
        <v>237</v>
      </c>
      <c r="J11" s="10" t="s">
        <v>240</v>
      </c>
      <c r="K11" s="10" t="s">
        <v>338</v>
      </c>
      <c r="L11" s="10" t="s">
        <v>262</v>
      </c>
      <c r="M11" s="10" t="s">
        <v>486</v>
      </c>
      <c r="N11" s="10" t="s">
        <v>428</v>
      </c>
      <c r="O11" s="24" t="n">
        <v>277900</v>
      </c>
    </row>
    <row r="12" customFormat="false" ht="15" hidden="false" customHeight="false" outlineLevel="0" collapsed="false">
      <c r="A12" s="10" t="s">
        <v>509</v>
      </c>
      <c r="B12" s="11" t="n">
        <v>45867</v>
      </c>
      <c r="C12" s="10" t="s">
        <v>499</v>
      </c>
      <c r="D12" s="10" t="s">
        <v>462</v>
      </c>
      <c r="E12" s="10" t="s">
        <v>500</v>
      </c>
      <c r="F12" s="24" t="n">
        <v>3</v>
      </c>
      <c r="G12" s="10" t="s">
        <v>104</v>
      </c>
      <c r="H12" s="10" t="s">
        <v>503</v>
      </c>
      <c r="I12" s="10" t="s">
        <v>466</v>
      </c>
      <c r="J12" s="10" t="s">
        <v>276</v>
      </c>
      <c r="K12" s="10" t="s">
        <v>299</v>
      </c>
      <c r="L12" s="10" t="s">
        <v>240</v>
      </c>
      <c r="M12" s="10" t="s">
        <v>486</v>
      </c>
      <c r="N12" s="10" t="s">
        <v>428</v>
      </c>
      <c r="O12" s="24" t="n">
        <v>256600</v>
      </c>
    </row>
    <row r="13" customFormat="false" ht="15" hidden="false" customHeight="false" outlineLevel="0" collapsed="false">
      <c r="A13" s="10" t="s">
        <v>510</v>
      </c>
      <c r="B13" s="11" t="n">
        <v>45870</v>
      </c>
      <c r="C13" s="10" t="s">
        <v>499</v>
      </c>
      <c r="D13" s="10" t="s">
        <v>462</v>
      </c>
      <c r="E13" s="10" t="s">
        <v>500</v>
      </c>
      <c r="F13" s="24" t="n">
        <v>7</v>
      </c>
      <c r="G13" s="10" t="s">
        <v>128</v>
      </c>
      <c r="H13" s="10" t="s">
        <v>464</v>
      </c>
      <c r="I13" s="10" t="s">
        <v>472</v>
      </c>
      <c r="J13" s="10" t="s">
        <v>293</v>
      </c>
      <c r="K13" s="10" t="s">
        <v>511</v>
      </c>
      <c r="L13" s="10" t="s">
        <v>293</v>
      </c>
      <c r="M13" s="10" t="s">
        <v>497</v>
      </c>
      <c r="N13" s="10" t="s">
        <v>428</v>
      </c>
      <c r="O13" s="24" t="n">
        <v>220500</v>
      </c>
    </row>
    <row r="14" customFormat="false" ht="15" hidden="false" customHeight="false" outlineLevel="0" collapsed="false">
      <c r="A14" s="10" t="s">
        <v>512</v>
      </c>
      <c r="B14" s="11" t="n">
        <v>45873</v>
      </c>
      <c r="C14" s="10" t="s">
        <v>499</v>
      </c>
      <c r="D14" s="10" t="s">
        <v>462</v>
      </c>
      <c r="E14" s="10" t="s">
        <v>500</v>
      </c>
      <c r="F14" s="24" t="n">
        <v>21</v>
      </c>
      <c r="G14" s="10" t="s">
        <v>128</v>
      </c>
      <c r="H14" s="10" t="s">
        <v>464</v>
      </c>
      <c r="I14" s="10" t="s">
        <v>513</v>
      </c>
      <c r="J14" s="10" t="s">
        <v>284</v>
      </c>
      <c r="K14" s="10" t="s">
        <v>345</v>
      </c>
      <c r="L14" s="10" t="s">
        <v>276</v>
      </c>
      <c r="M14" s="10" t="s">
        <v>497</v>
      </c>
      <c r="N14" s="10" t="s">
        <v>428</v>
      </c>
      <c r="O14" s="24" t="n">
        <v>236900</v>
      </c>
    </row>
    <row r="15" customFormat="false" ht="15" hidden="false" customHeight="false" outlineLevel="0" collapsed="false">
      <c r="A15" s="10" t="s">
        <v>514</v>
      </c>
      <c r="B15" s="11" t="n">
        <v>45876</v>
      </c>
      <c r="C15" s="10" t="s">
        <v>494</v>
      </c>
      <c r="D15" s="10" t="s">
        <v>495</v>
      </c>
      <c r="E15" s="10" t="s">
        <v>490</v>
      </c>
      <c r="F15" s="24" t="n">
        <v>3</v>
      </c>
      <c r="G15" s="10" t="s">
        <v>104</v>
      </c>
      <c r="H15" s="10" t="s">
        <v>496</v>
      </c>
      <c r="I15" s="10" t="s">
        <v>308</v>
      </c>
      <c r="J15" s="10" t="s">
        <v>310</v>
      </c>
      <c r="K15" s="10" t="s">
        <v>515</v>
      </c>
      <c r="L15" s="10" t="s">
        <v>372</v>
      </c>
      <c r="M15" s="10" t="s">
        <v>474</v>
      </c>
      <c r="N15" s="10" t="s">
        <v>286</v>
      </c>
      <c r="O15" s="24" t="n">
        <v>161400</v>
      </c>
    </row>
    <row r="16" customFormat="false" ht="15" hidden="false" customHeight="false" outlineLevel="0" collapsed="false">
      <c r="A16" s="10" t="s">
        <v>516</v>
      </c>
      <c r="B16" s="11" t="n">
        <v>45882</v>
      </c>
      <c r="C16" s="10" t="s">
        <v>506</v>
      </c>
      <c r="D16" s="10" t="s">
        <v>485</v>
      </c>
      <c r="E16" s="10" t="s">
        <v>507</v>
      </c>
      <c r="F16" s="24" t="n">
        <v>12</v>
      </c>
      <c r="G16" s="10" t="s">
        <v>111</v>
      </c>
      <c r="H16" s="10" t="s">
        <v>517</v>
      </c>
      <c r="I16" s="10" t="s">
        <v>237</v>
      </c>
      <c r="J16" s="10" t="s">
        <v>240</v>
      </c>
      <c r="K16" s="10" t="s">
        <v>473</v>
      </c>
      <c r="L16" s="10" t="s">
        <v>408</v>
      </c>
      <c r="M16" s="10" t="s">
        <v>474</v>
      </c>
      <c r="N16" s="10" t="s">
        <v>428</v>
      </c>
      <c r="O16" s="24" t="n">
        <v>1215600</v>
      </c>
    </row>
    <row r="17" customFormat="false" ht="15" hidden="false" customHeight="false" outlineLevel="0" collapsed="false">
      <c r="A17" s="10" t="s">
        <v>518</v>
      </c>
      <c r="B17" s="11" t="n">
        <v>45884</v>
      </c>
      <c r="C17" s="10" t="s">
        <v>519</v>
      </c>
      <c r="D17" s="10" t="s">
        <v>489</v>
      </c>
      <c r="E17" s="10" t="s">
        <v>479</v>
      </c>
      <c r="F17" s="24" t="n">
        <v>17</v>
      </c>
      <c r="G17" s="10" t="s">
        <v>104</v>
      </c>
      <c r="H17" s="10" t="s">
        <v>496</v>
      </c>
      <c r="I17" s="10" t="s">
        <v>465</v>
      </c>
      <c r="J17" s="10" t="s">
        <v>269</v>
      </c>
      <c r="K17" s="10" t="s">
        <v>328</v>
      </c>
      <c r="L17" s="10" t="s">
        <v>269</v>
      </c>
      <c r="M17" s="10" t="s">
        <v>497</v>
      </c>
      <c r="N17" s="10" t="s">
        <v>244</v>
      </c>
      <c r="O17" s="24" t="n">
        <v>237200</v>
      </c>
    </row>
    <row r="18" customFormat="false" ht="15" hidden="false" customHeight="false" outlineLevel="0" collapsed="false">
      <c r="A18" s="10" t="s">
        <v>520</v>
      </c>
      <c r="B18" s="11" t="n">
        <v>45886</v>
      </c>
      <c r="C18" s="10" t="s">
        <v>469</v>
      </c>
      <c r="D18" s="10" t="s">
        <v>462</v>
      </c>
      <c r="E18" s="10" t="s">
        <v>470</v>
      </c>
      <c r="F18" s="24" t="n">
        <v>4</v>
      </c>
      <c r="G18" s="10" t="s">
        <v>128</v>
      </c>
      <c r="H18" s="10" t="s">
        <v>464</v>
      </c>
      <c r="I18" s="10" t="s">
        <v>237</v>
      </c>
      <c r="J18" s="10" t="s">
        <v>240</v>
      </c>
      <c r="K18" s="10" t="s">
        <v>308</v>
      </c>
      <c r="L18" s="10" t="s">
        <v>310</v>
      </c>
      <c r="M18" s="10" t="s">
        <v>474</v>
      </c>
      <c r="N18" s="10" t="s">
        <v>475</v>
      </c>
      <c r="O18" s="24" t="n">
        <v>4602400</v>
      </c>
    </row>
    <row r="19" customFormat="false" ht="15" hidden="false" customHeight="false" outlineLevel="0" collapsed="false">
      <c r="A19" s="10" t="s">
        <v>521</v>
      </c>
      <c r="B19" s="11" t="n">
        <v>45887</v>
      </c>
      <c r="C19" s="10" t="s">
        <v>502</v>
      </c>
      <c r="D19" s="10" t="s">
        <v>489</v>
      </c>
      <c r="E19" s="10" t="s">
        <v>479</v>
      </c>
      <c r="F19" s="24" t="n">
        <v>23</v>
      </c>
      <c r="G19" s="10" t="s">
        <v>128</v>
      </c>
      <c r="H19" s="10" t="s">
        <v>496</v>
      </c>
      <c r="I19" s="10" t="s">
        <v>513</v>
      </c>
      <c r="J19" s="10" t="s">
        <v>284</v>
      </c>
      <c r="K19" s="10" t="s">
        <v>466</v>
      </c>
      <c r="L19" s="10" t="s">
        <v>276</v>
      </c>
      <c r="M19" s="10" t="s">
        <v>497</v>
      </c>
      <c r="N19" s="10" t="s">
        <v>244</v>
      </c>
      <c r="O19" s="24" t="n">
        <v>227700</v>
      </c>
    </row>
    <row r="20" customFormat="false" ht="15" hidden="false" customHeight="false" outlineLevel="0" collapsed="false">
      <c r="A20" s="10" t="s">
        <v>522</v>
      </c>
      <c r="B20" s="11" t="n">
        <v>45890</v>
      </c>
      <c r="C20" s="10" t="s">
        <v>523</v>
      </c>
      <c r="D20" s="10" t="s">
        <v>524</v>
      </c>
      <c r="E20" s="10" t="s">
        <v>525</v>
      </c>
      <c r="F20" s="24" t="n">
        <v>7</v>
      </c>
      <c r="G20" s="10" t="s">
        <v>128</v>
      </c>
      <c r="H20" s="10" t="s">
        <v>496</v>
      </c>
      <c r="I20" s="10" t="s">
        <v>465</v>
      </c>
      <c r="J20" s="10" t="s">
        <v>269</v>
      </c>
      <c r="K20" s="10" t="s">
        <v>526</v>
      </c>
      <c r="L20" s="10" t="s">
        <v>445</v>
      </c>
      <c r="M20" s="10" t="s">
        <v>486</v>
      </c>
      <c r="N20" s="10" t="s">
        <v>527</v>
      </c>
      <c r="O20" s="24" t="n">
        <v>44200</v>
      </c>
    </row>
    <row r="21" customFormat="false" ht="15" hidden="false" customHeight="false" outlineLevel="0" collapsed="false">
      <c r="A21" s="10" t="s">
        <v>528</v>
      </c>
      <c r="B21" s="11" t="n">
        <v>45890</v>
      </c>
      <c r="C21" s="10" t="s">
        <v>484</v>
      </c>
      <c r="D21" s="10" t="s">
        <v>485</v>
      </c>
      <c r="E21" s="10" t="s">
        <v>479</v>
      </c>
      <c r="F21" s="24" t="n">
        <v>17</v>
      </c>
      <c r="G21" s="10" t="s">
        <v>128</v>
      </c>
      <c r="H21" s="10" t="s">
        <v>471</v>
      </c>
      <c r="I21" s="10" t="s">
        <v>529</v>
      </c>
      <c r="J21" s="10" t="s">
        <v>262</v>
      </c>
      <c r="K21" s="10" t="s">
        <v>530</v>
      </c>
      <c r="L21" s="10" t="s">
        <v>401</v>
      </c>
      <c r="M21" s="10" t="s">
        <v>497</v>
      </c>
      <c r="N21" s="10" t="s">
        <v>244</v>
      </c>
      <c r="O21" s="24" t="n">
        <v>144200</v>
      </c>
    </row>
    <row r="22" customFormat="false" ht="15" hidden="false" customHeight="false" outlineLevel="0" collapsed="false">
      <c r="A22" s="10" t="s">
        <v>531</v>
      </c>
      <c r="B22" s="11" t="n">
        <v>45893</v>
      </c>
      <c r="C22" s="10" t="s">
        <v>523</v>
      </c>
      <c r="D22" s="10" t="s">
        <v>524</v>
      </c>
      <c r="E22" s="10" t="s">
        <v>525</v>
      </c>
      <c r="F22" s="24" t="n">
        <v>5</v>
      </c>
      <c r="G22" s="10" t="s">
        <v>111</v>
      </c>
      <c r="H22" s="10" t="s">
        <v>532</v>
      </c>
      <c r="I22" s="10" t="s">
        <v>465</v>
      </c>
      <c r="J22" s="10" t="s">
        <v>269</v>
      </c>
      <c r="K22" s="10" t="s">
        <v>359</v>
      </c>
      <c r="L22" s="10" t="s">
        <v>354</v>
      </c>
      <c r="M22" s="10" t="s">
        <v>533</v>
      </c>
      <c r="N22" s="10" t="s">
        <v>527</v>
      </c>
      <c r="O22" s="24" t="n">
        <v>30100</v>
      </c>
    </row>
    <row r="23" customFormat="false" ht="15" hidden="false" customHeight="false" outlineLevel="0" collapsed="false">
      <c r="A23" s="10" t="s">
        <v>534</v>
      </c>
      <c r="B23" s="11" t="n">
        <v>45895</v>
      </c>
      <c r="C23" s="10" t="s">
        <v>502</v>
      </c>
      <c r="D23" s="10" t="s">
        <v>489</v>
      </c>
      <c r="E23" s="10" t="s">
        <v>479</v>
      </c>
      <c r="F23" s="24" t="n">
        <v>6</v>
      </c>
      <c r="G23" s="10" t="s">
        <v>111</v>
      </c>
      <c r="H23" s="10" t="s">
        <v>517</v>
      </c>
      <c r="I23" s="10" t="s">
        <v>308</v>
      </c>
      <c r="J23" s="10" t="s">
        <v>310</v>
      </c>
      <c r="K23" s="10" t="s">
        <v>481</v>
      </c>
      <c r="L23" s="10" t="s">
        <v>419</v>
      </c>
      <c r="M23" s="10" t="s">
        <v>467</v>
      </c>
      <c r="N23" s="10" t="s">
        <v>244</v>
      </c>
      <c r="O23" s="24" t="n">
        <v>193200</v>
      </c>
    </row>
    <row r="24" customFormat="false" ht="15" hidden="false" customHeight="false" outlineLevel="0" collapsed="false">
      <c r="A24" s="10" t="s">
        <v>535</v>
      </c>
      <c r="B24" s="11" t="n">
        <v>45896</v>
      </c>
      <c r="C24" s="10" t="s">
        <v>469</v>
      </c>
      <c r="D24" s="10" t="s">
        <v>462</v>
      </c>
      <c r="E24" s="10" t="s">
        <v>470</v>
      </c>
      <c r="F24" s="24" t="n">
        <v>26</v>
      </c>
      <c r="G24" s="10" t="s">
        <v>128</v>
      </c>
      <c r="H24" s="10" t="s">
        <v>496</v>
      </c>
      <c r="I24" s="10" t="s">
        <v>529</v>
      </c>
      <c r="J24" s="10" t="s">
        <v>262</v>
      </c>
      <c r="K24" s="10" t="s">
        <v>536</v>
      </c>
      <c r="L24" s="10" t="s">
        <v>354</v>
      </c>
      <c r="M24" s="10" t="s">
        <v>486</v>
      </c>
      <c r="N24" s="10" t="s">
        <v>475</v>
      </c>
      <c r="O24" s="24" t="n">
        <v>5168300</v>
      </c>
    </row>
    <row r="25" customFormat="false" ht="15" hidden="false" customHeight="false" outlineLevel="0" collapsed="false">
      <c r="A25" s="10" t="s">
        <v>537</v>
      </c>
      <c r="B25" s="11" t="n">
        <v>45903</v>
      </c>
      <c r="C25" s="10" t="s">
        <v>499</v>
      </c>
      <c r="D25" s="10" t="s">
        <v>462</v>
      </c>
      <c r="E25" s="10" t="s">
        <v>500</v>
      </c>
      <c r="F25" s="24" t="n">
        <v>23</v>
      </c>
      <c r="G25" s="10" t="s">
        <v>104</v>
      </c>
      <c r="H25" s="10" t="s">
        <v>480</v>
      </c>
      <c r="I25" s="10" t="s">
        <v>513</v>
      </c>
      <c r="J25" s="10" t="s">
        <v>284</v>
      </c>
      <c r="K25" s="10" t="s">
        <v>299</v>
      </c>
      <c r="L25" s="10" t="s">
        <v>240</v>
      </c>
      <c r="M25" s="10" t="s">
        <v>474</v>
      </c>
      <c r="N25" s="10" t="s">
        <v>428</v>
      </c>
      <c r="O25" s="24" t="n">
        <v>134700</v>
      </c>
    </row>
    <row r="26" customFormat="false" ht="15" hidden="false" customHeight="false" outlineLevel="0" collapsed="false">
      <c r="A26" s="10" t="s">
        <v>538</v>
      </c>
      <c r="B26" s="11" t="n">
        <v>45911</v>
      </c>
      <c r="C26" s="10" t="s">
        <v>519</v>
      </c>
      <c r="D26" s="10" t="s">
        <v>489</v>
      </c>
      <c r="E26" s="10" t="s">
        <v>479</v>
      </c>
      <c r="F26" s="24" t="n">
        <v>13</v>
      </c>
      <c r="G26" s="10" t="s">
        <v>128</v>
      </c>
      <c r="H26" s="10" t="s">
        <v>464</v>
      </c>
      <c r="I26" s="10" t="s">
        <v>513</v>
      </c>
      <c r="J26" s="10" t="s">
        <v>284</v>
      </c>
      <c r="K26" s="10" t="s">
        <v>466</v>
      </c>
      <c r="L26" s="10" t="s">
        <v>276</v>
      </c>
      <c r="M26" s="10" t="s">
        <v>486</v>
      </c>
      <c r="N26" s="10" t="s">
        <v>244</v>
      </c>
      <c r="O26" s="24" t="n">
        <v>206800</v>
      </c>
    </row>
    <row r="27" customFormat="false" ht="15" hidden="false" customHeight="false" outlineLevel="0" collapsed="false">
      <c r="A27" s="10" t="s">
        <v>539</v>
      </c>
      <c r="B27" s="11" t="n">
        <v>45912</v>
      </c>
      <c r="C27" s="10" t="s">
        <v>540</v>
      </c>
      <c r="D27" s="10" t="s">
        <v>478</v>
      </c>
      <c r="E27" s="10" t="s">
        <v>479</v>
      </c>
      <c r="F27" s="24" t="n">
        <v>11</v>
      </c>
      <c r="G27" s="10" t="s">
        <v>104</v>
      </c>
      <c r="H27" s="10" t="s">
        <v>503</v>
      </c>
      <c r="I27" s="10" t="s">
        <v>250</v>
      </c>
      <c r="J27" s="10" t="s">
        <v>240</v>
      </c>
      <c r="K27" s="10" t="s">
        <v>465</v>
      </c>
      <c r="L27" s="10" t="s">
        <v>269</v>
      </c>
      <c r="M27" s="10" t="s">
        <v>467</v>
      </c>
      <c r="N27" s="10" t="s">
        <v>286</v>
      </c>
      <c r="O27" s="24" t="n">
        <v>102000</v>
      </c>
    </row>
    <row r="28" customFormat="false" ht="15" hidden="false" customHeight="false" outlineLevel="0" collapsed="false">
      <c r="A28" s="10" t="s">
        <v>541</v>
      </c>
      <c r="B28" s="11" t="n">
        <v>45921</v>
      </c>
      <c r="C28" s="10" t="s">
        <v>542</v>
      </c>
      <c r="D28" s="10" t="s">
        <v>489</v>
      </c>
      <c r="E28" s="10" t="s">
        <v>479</v>
      </c>
      <c r="F28" s="24" t="n">
        <v>8</v>
      </c>
      <c r="G28" s="10" t="s">
        <v>104</v>
      </c>
      <c r="H28" s="10" t="s">
        <v>480</v>
      </c>
      <c r="I28" s="10" t="s">
        <v>250</v>
      </c>
      <c r="J28" s="10" t="s">
        <v>240</v>
      </c>
      <c r="K28" s="10" t="s">
        <v>515</v>
      </c>
      <c r="L28" s="10" t="s">
        <v>372</v>
      </c>
      <c r="M28" s="10" t="s">
        <v>497</v>
      </c>
      <c r="N28" s="10" t="s">
        <v>244</v>
      </c>
      <c r="O28" s="24" t="n">
        <v>145400</v>
      </c>
    </row>
    <row r="29" customFormat="false" ht="15" hidden="false" customHeight="false" outlineLevel="0" collapsed="false">
      <c r="A29" s="10" t="s">
        <v>543</v>
      </c>
      <c r="B29" s="11" t="n">
        <v>45921</v>
      </c>
      <c r="C29" s="10" t="s">
        <v>519</v>
      </c>
      <c r="D29" s="10" t="s">
        <v>489</v>
      </c>
      <c r="E29" s="10" t="s">
        <v>479</v>
      </c>
      <c r="F29" s="24" t="n">
        <v>5</v>
      </c>
      <c r="G29" s="10" t="s">
        <v>111</v>
      </c>
      <c r="H29" s="10" t="s">
        <v>480</v>
      </c>
      <c r="I29" s="10" t="s">
        <v>472</v>
      </c>
      <c r="J29" s="10" t="s">
        <v>293</v>
      </c>
      <c r="K29" s="10" t="s">
        <v>430</v>
      </c>
      <c r="L29" s="10" t="s">
        <v>433</v>
      </c>
      <c r="M29" s="10" t="s">
        <v>474</v>
      </c>
      <c r="N29" s="10" t="s">
        <v>244</v>
      </c>
      <c r="O29" s="24" t="n">
        <v>102500</v>
      </c>
    </row>
    <row r="30" customFormat="false" ht="15" hidden="false" customHeight="false" outlineLevel="0" collapsed="false">
      <c r="A30" s="10" t="s">
        <v>544</v>
      </c>
      <c r="B30" s="11" t="n">
        <v>45929</v>
      </c>
      <c r="C30" s="10" t="s">
        <v>494</v>
      </c>
      <c r="D30" s="10" t="s">
        <v>495</v>
      </c>
      <c r="E30" s="10" t="s">
        <v>490</v>
      </c>
      <c r="F30" s="24" t="n">
        <v>14</v>
      </c>
      <c r="G30" s="10" t="s">
        <v>128</v>
      </c>
      <c r="H30" s="10" t="s">
        <v>496</v>
      </c>
      <c r="I30" s="10" t="s">
        <v>529</v>
      </c>
      <c r="J30" s="10" t="s">
        <v>262</v>
      </c>
      <c r="K30" s="10" t="s">
        <v>536</v>
      </c>
      <c r="L30" s="10" t="s">
        <v>354</v>
      </c>
      <c r="M30" s="10" t="s">
        <v>482</v>
      </c>
      <c r="N30" s="10" t="s">
        <v>286</v>
      </c>
      <c r="O30" s="24" t="n">
        <v>159500</v>
      </c>
    </row>
    <row r="31" customFormat="false" ht="15" hidden="false" customHeight="false" outlineLevel="0" collapsed="false">
      <c r="A31" s="10" t="s">
        <v>545</v>
      </c>
      <c r="B31" s="11" t="n">
        <v>45929</v>
      </c>
      <c r="C31" s="10" t="s">
        <v>477</v>
      </c>
      <c r="D31" s="10" t="s">
        <v>478</v>
      </c>
      <c r="E31" s="10" t="s">
        <v>479</v>
      </c>
      <c r="F31" s="24" t="n">
        <v>3</v>
      </c>
      <c r="G31" s="10" t="s">
        <v>111</v>
      </c>
      <c r="H31" s="10" t="s">
        <v>517</v>
      </c>
      <c r="I31" s="10" t="s">
        <v>250</v>
      </c>
      <c r="J31" s="10" t="s">
        <v>240</v>
      </c>
      <c r="K31" s="10" t="s">
        <v>546</v>
      </c>
      <c r="L31" s="10" t="s">
        <v>284</v>
      </c>
      <c r="M31" s="10" t="s">
        <v>474</v>
      </c>
      <c r="N31" s="10" t="s">
        <v>286</v>
      </c>
      <c r="O31" s="24" t="n">
        <v>54600</v>
      </c>
    </row>
    <row r="32" customFormat="false" ht="15" hidden="false" customHeight="false" outlineLevel="0" collapsed="false">
      <c r="A32" s="10" t="s">
        <v>547</v>
      </c>
      <c r="B32" s="11" t="n">
        <v>45937</v>
      </c>
      <c r="C32" s="10" t="s">
        <v>494</v>
      </c>
      <c r="D32" s="10" t="s">
        <v>495</v>
      </c>
      <c r="E32" s="10" t="s">
        <v>490</v>
      </c>
      <c r="F32" s="24" t="n">
        <v>6</v>
      </c>
      <c r="G32" s="10" t="s">
        <v>104</v>
      </c>
      <c r="H32" s="10" t="s">
        <v>503</v>
      </c>
      <c r="I32" s="10" t="s">
        <v>513</v>
      </c>
      <c r="J32" s="10" t="s">
        <v>284</v>
      </c>
      <c r="K32" s="10" t="s">
        <v>548</v>
      </c>
      <c r="L32" s="10" t="s">
        <v>395</v>
      </c>
      <c r="M32" s="10" t="s">
        <v>482</v>
      </c>
      <c r="N32" s="10" t="s">
        <v>286</v>
      </c>
      <c r="O32" s="24" t="n">
        <v>173600</v>
      </c>
    </row>
    <row r="33" customFormat="false" ht="15" hidden="false" customHeight="false" outlineLevel="0" collapsed="false">
      <c r="A33" s="10" t="s">
        <v>549</v>
      </c>
      <c r="B33" s="11" t="n">
        <v>45944</v>
      </c>
      <c r="C33" s="10" t="s">
        <v>550</v>
      </c>
      <c r="D33" s="10" t="s">
        <v>485</v>
      </c>
      <c r="E33" s="10" t="s">
        <v>479</v>
      </c>
      <c r="F33" s="24" t="n">
        <v>26</v>
      </c>
      <c r="G33" s="10" t="s">
        <v>491</v>
      </c>
      <c r="H33" s="10" t="s">
        <v>496</v>
      </c>
      <c r="I33" s="10" t="s">
        <v>465</v>
      </c>
      <c r="J33" s="10" t="s">
        <v>269</v>
      </c>
      <c r="K33" s="10" t="s">
        <v>551</v>
      </c>
      <c r="L33" s="10" t="s">
        <v>310</v>
      </c>
      <c r="M33" s="10" t="s">
        <v>467</v>
      </c>
      <c r="N33" s="10" t="s">
        <v>244</v>
      </c>
      <c r="O33" s="24" t="n">
        <v>457800</v>
      </c>
    </row>
    <row r="34" customFormat="false" ht="15" hidden="false" customHeight="false" outlineLevel="0" collapsed="false">
      <c r="A34" s="10" t="s">
        <v>552</v>
      </c>
      <c r="B34" s="11" t="n">
        <v>45945</v>
      </c>
      <c r="C34" s="10" t="s">
        <v>553</v>
      </c>
      <c r="D34" s="10" t="s">
        <v>495</v>
      </c>
      <c r="E34" s="10" t="s">
        <v>554</v>
      </c>
      <c r="F34" s="24" t="n">
        <v>21</v>
      </c>
      <c r="G34" s="10" t="s">
        <v>111</v>
      </c>
      <c r="H34" s="10" t="s">
        <v>480</v>
      </c>
      <c r="I34" s="10" t="s">
        <v>466</v>
      </c>
      <c r="J34" s="10" t="s">
        <v>276</v>
      </c>
      <c r="K34" s="10" t="s">
        <v>511</v>
      </c>
      <c r="L34" s="10" t="s">
        <v>293</v>
      </c>
      <c r="M34" s="10" t="s">
        <v>497</v>
      </c>
      <c r="N34" s="10" t="s">
        <v>286</v>
      </c>
      <c r="O34" s="24" t="n">
        <v>31600</v>
      </c>
    </row>
    <row r="35" customFormat="false" ht="15" hidden="false" customHeight="false" outlineLevel="0" collapsed="false">
      <c r="A35" s="10" t="s">
        <v>555</v>
      </c>
      <c r="B35" s="11" t="n">
        <v>45947</v>
      </c>
      <c r="C35" s="10" t="s">
        <v>556</v>
      </c>
      <c r="D35" s="10" t="s">
        <v>485</v>
      </c>
      <c r="E35" s="10" t="s">
        <v>557</v>
      </c>
      <c r="F35" s="24" t="n">
        <v>18</v>
      </c>
      <c r="G35" s="10" t="s">
        <v>128</v>
      </c>
      <c r="H35" s="10" t="s">
        <v>496</v>
      </c>
      <c r="I35" s="10" t="s">
        <v>465</v>
      </c>
      <c r="J35" s="10" t="s">
        <v>269</v>
      </c>
      <c r="K35" s="10" t="s">
        <v>323</v>
      </c>
      <c r="L35" s="10" t="s">
        <v>276</v>
      </c>
      <c r="M35" s="10" t="s">
        <v>497</v>
      </c>
      <c r="N35" s="10" t="s">
        <v>428</v>
      </c>
      <c r="O35" s="24" t="n">
        <v>1025800</v>
      </c>
    </row>
    <row r="36" customFormat="false" ht="15" hidden="false" customHeight="false" outlineLevel="0" collapsed="false">
      <c r="A36" s="10" t="s">
        <v>558</v>
      </c>
      <c r="B36" s="11" t="n">
        <v>45947</v>
      </c>
      <c r="C36" s="10" t="s">
        <v>461</v>
      </c>
      <c r="D36" s="10" t="s">
        <v>462</v>
      </c>
      <c r="E36" s="10" t="s">
        <v>463</v>
      </c>
      <c r="F36" s="24" t="n">
        <v>8</v>
      </c>
      <c r="G36" s="10" t="s">
        <v>128</v>
      </c>
      <c r="H36" s="10" t="s">
        <v>496</v>
      </c>
      <c r="I36" s="10" t="s">
        <v>472</v>
      </c>
      <c r="J36" s="10" t="s">
        <v>293</v>
      </c>
      <c r="K36" s="10" t="s">
        <v>323</v>
      </c>
      <c r="L36" s="10" t="s">
        <v>276</v>
      </c>
      <c r="M36" s="10" t="s">
        <v>482</v>
      </c>
      <c r="N36" s="10" t="s">
        <v>428</v>
      </c>
      <c r="O36" s="24" t="n">
        <v>1206000</v>
      </c>
    </row>
    <row r="37" customFormat="false" ht="15" hidden="false" customHeight="false" outlineLevel="0" collapsed="false">
      <c r="A37" s="10" t="s">
        <v>559</v>
      </c>
      <c r="B37" s="11" t="n">
        <v>45952</v>
      </c>
      <c r="C37" s="10" t="s">
        <v>553</v>
      </c>
      <c r="D37" s="10" t="s">
        <v>495</v>
      </c>
      <c r="E37" s="10" t="s">
        <v>554</v>
      </c>
      <c r="F37" s="24" t="n">
        <v>19</v>
      </c>
      <c r="G37" s="10" t="s">
        <v>128</v>
      </c>
      <c r="H37" s="10" t="s">
        <v>464</v>
      </c>
      <c r="I37" s="10" t="s">
        <v>529</v>
      </c>
      <c r="J37" s="10" t="s">
        <v>262</v>
      </c>
      <c r="K37" s="10" t="s">
        <v>308</v>
      </c>
      <c r="L37" s="10" t="s">
        <v>310</v>
      </c>
      <c r="M37" s="10" t="s">
        <v>533</v>
      </c>
      <c r="N37" s="10" t="s">
        <v>286</v>
      </c>
      <c r="O37" s="24" t="n">
        <v>38200</v>
      </c>
    </row>
    <row r="38" customFormat="false" ht="15" hidden="false" customHeight="false" outlineLevel="0" collapsed="false">
      <c r="A38" s="10" t="s">
        <v>560</v>
      </c>
      <c r="B38" s="11" t="n">
        <v>45953</v>
      </c>
      <c r="C38" s="10" t="s">
        <v>553</v>
      </c>
      <c r="D38" s="10" t="s">
        <v>495</v>
      </c>
      <c r="E38" s="10" t="s">
        <v>554</v>
      </c>
      <c r="F38" s="24" t="n">
        <v>20</v>
      </c>
      <c r="G38" s="10" t="s">
        <v>111</v>
      </c>
      <c r="H38" s="10" t="s">
        <v>480</v>
      </c>
      <c r="I38" s="10" t="s">
        <v>308</v>
      </c>
      <c r="J38" s="10" t="s">
        <v>310</v>
      </c>
      <c r="K38" s="10" t="s">
        <v>359</v>
      </c>
      <c r="L38" s="10" t="s">
        <v>354</v>
      </c>
      <c r="M38" s="10" t="s">
        <v>467</v>
      </c>
      <c r="N38" s="10" t="s">
        <v>286</v>
      </c>
      <c r="O38" s="24" t="n">
        <v>29600</v>
      </c>
    </row>
    <row r="39" customFormat="false" ht="15" hidden="false" customHeight="false" outlineLevel="0" collapsed="false">
      <c r="A39" s="10" t="s">
        <v>561</v>
      </c>
      <c r="B39" s="11" t="n">
        <v>45953</v>
      </c>
      <c r="C39" s="10" t="s">
        <v>540</v>
      </c>
      <c r="D39" s="10" t="s">
        <v>478</v>
      </c>
      <c r="E39" s="10" t="s">
        <v>479</v>
      </c>
      <c r="F39" s="24" t="n">
        <v>24</v>
      </c>
      <c r="G39" s="10" t="s">
        <v>128</v>
      </c>
      <c r="H39" s="10" t="s">
        <v>471</v>
      </c>
      <c r="I39" s="10" t="s">
        <v>308</v>
      </c>
      <c r="J39" s="10" t="s">
        <v>310</v>
      </c>
      <c r="K39" s="10" t="s">
        <v>530</v>
      </c>
      <c r="L39" s="10" t="s">
        <v>401</v>
      </c>
      <c r="M39" s="10" t="s">
        <v>533</v>
      </c>
      <c r="N39" s="10" t="s">
        <v>286</v>
      </c>
      <c r="O39" s="24" t="n">
        <v>78200</v>
      </c>
    </row>
    <row r="40" customFormat="false" ht="15" hidden="false" customHeight="false" outlineLevel="0" collapsed="false">
      <c r="A40" s="10" t="s">
        <v>562</v>
      </c>
      <c r="B40" s="11" t="n">
        <v>45958</v>
      </c>
      <c r="C40" s="10" t="s">
        <v>494</v>
      </c>
      <c r="D40" s="10" t="s">
        <v>495</v>
      </c>
      <c r="E40" s="10" t="s">
        <v>490</v>
      </c>
      <c r="F40" s="24" t="n">
        <v>11</v>
      </c>
      <c r="G40" s="10" t="s">
        <v>111</v>
      </c>
      <c r="H40" s="10" t="s">
        <v>517</v>
      </c>
      <c r="I40" s="10" t="s">
        <v>529</v>
      </c>
      <c r="J40" s="10" t="s">
        <v>262</v>
      </c>
      <c r="K40" s="10" t="s">
        <v>359</v>
      </c>
      <c r="L40" s="10" t="s">
        <v>354</v>
      </c>
      <c r="M40" s="10" t="s">
        <v>474</v>
      </c>
      <c r="N40" s="10" t="s">
        <v>286</v>
      </c>
      <c r="O40" s="24" t="n">
        <v>56900</v>
      </c>
    </row>
    <row r="41" customFormat="false" ht="15" hidden="false" customHeight="false" outlineLevel="0" collapsed="false">
      <c r="A41" s="10" t="s">
        <v>563</v>
      </c>
      <c r="B41" s="11" t="n">
        <v>45959</v>
      </c>
      <c r="C41" s="10" t="s">
        <v>499</v>
      </c>
      <c r="D41" s="10" t="s">
        <v>462</v>
      </c>
      <c r="E41" s="10" t="s">
        <v>500</v>
      </c>
      <c r="F41" s="24" t="n">
        <v>24</v>
      </c>
      <c r="G41" s="10" t="s">
        <v>104</v>
      </c>
      <c r="H41" s="10" t="s">
        <v>496</v>
      </c>
      <c r="I41" s="10" t="s">
        <v>529</v>
      </c>
      <c r="J41" s="10" t="s">
        <v>262</v>
      </c>
      <c r="K41" s="10" t="s">
        <v>250</v>
      </c>
      <c r="L41" s="10" t="s">
        <v>240</v>
      </c>
      <c r="M41" s="10" t="s">
        <v>474</v>
      </c>
      <c r="N41" s="10" t="s">
        <v>428</v>
      </c>
      <c r="O41" s="24" t="n">
        <v>225900</v>
      </c>
    </row>
    <row r="42" customFormat="false" ht="15" hidden="false" customHeight="false" outlineLevel="0" collapsed="false">
      <c r="A42" s="10" t="s">
        <v>564</v>
      </c>
      <c r="B42" s="11" t="n">
        <v>45959</v>
      </c>
      <c r="C42" s="10" t="s">
        <v>461</v>
      </c>
      <c r="D42" s="10" t="s">
        <v>462</v>
      </c>
      <c r="E42" s="10" t="s">
        <v>463</v>
      </c>
      <c r="F42" s="24" t="n">
        <v>18</v>
      </c>
      <c r="G42" s="10" t="s">
        <v>104</v>
      </c>
      <c r="H42" s="10" t="s">
        <v>503</v>
      </c>
      <c r="I42" s="10" t="s">
        <v>237</v>
      </c>
      <c r="J42" s="10" t="s">
        <v>240</v>
      </c>
      <c r="K42" s="10" t="s">
        <v>465</v>
      </c>
      <c r="L42" s="10" t="s">
        <v>269</v>
      </c>
      <c r="M42" s="10" t="s">
        <v>482</v>
      </c>
      <c r="N42" s="10" t="s">
        <v>428</v>
      </c>
      <c r="O42" s="24" t="n">
        <v>1548800</v>
      </c>
    </row>
    <row r="43" customFormat="false" ht="15" hidden="false" customHeight="false" outlineLevel="0" collapsed="false">
      <c r="A43" s="10" t="s">
        <v>565</v>
      </c>
      <c r="B43" s="11" t="n">
        <v>45964</v>
      </c>
      <c r="C43" s="10" t="s">
        <v>477</v>
      </c>
      <c r="D43" s="10" t="s">
        <v>478</v>
      </c>
      <c r="E43" s="10" t="s">
        <v>479</v>
      </c>
      <c r="F43" s="24" t="n">
        <v>13</v>
      </c>
      <c r="G43" s="10" t="s">
        <v>128</v>
      </c>
      <c r="H43" s="10" t="s">
        <v>464</v>
      </c>
      <c r="I43" s="10" t="s">
        <v>250</v>
      </c>
      <c r="J43" s="10" t="s">
        <v>240</v>
      </c>
      <c r="K43" s="10" t="s">
        <v>530</v>
      </c>
      <c r="L43" s="10" t="s">
        <v>401</v>
      </c>
      <c r="M43" s="10" t="s">
        <v>486</v>
      </c>
      <c r="N43" s="10" t="s">
        <v>286</v>
      </c>
      <c r="O43" s="24" t="n">
        <v>74100</v>
      </c>
    </row>
    <row r="44" customFormat="false" ht="15" hidden="false" customHeight="false" outlineLevel="0" collapsed="false">
      <c r="A44" s="10" t="s">
        <v>566</v>
      </c>
      <c r="B44" s="11" t="n">
        <v>45968</v>
      </c>
      <c r="C44" s="10" t="s">
        <v>494</v>
      </c>
      <c r="D44" s="10" t="s">
        <v>495</v>
      </c>
      <c r="E44" s="10" t="s">
        <v>490</v>
      </c>
      <c r="F44" s="24" t="n">
        <v>22</v>
      </c>
      <c r="G44" s="10" t="s">
        <v>111</v>
      </c>
      <c r="H44" s="10" t="s">
        <v>532</v>
      </c>
      <c r="I44" s="10" t="s">
        <v>529</v>
      </c>
      <c r="J44" s="10" t="s">
        <v>262</v>
      </c>
      <c r="K44" s="10" t="s">
        <v>511</v>
      </c>
      <c r="L44" s="10" t="s">
        <v>293</v>
      </c>
      <c r="M44" s="10" t="s">
        <v>467</v>
      </c>
      <c r="N44" s="10" t="s">
        <v>286</v>
      </c>
      <c r="O44" s="24" t="n">
        <v>119700</v>
      </c>
    </row>
    <row r="45" customFormat="false" ht="15" hidden="false" customHeight="false" outlineLevel="0" collapsed="false">
      <c r="A45" s="10" t="s">
        <v>567</v>
      </c>
      <c r="B45" s="11" t="n">
        <v>45969</v>
      </c>
      <c r="C45" s="10" t="s">
        <v>540</v>
      </c>
      <c r="D45" s="10" t="s">
        <v>478</v>
      </c>
      <c r="E45" s="10" t="s">
        <v>479</v>
      </c>
      <c r="F45" s="24" t="n">
        <v>10</v>
      </c>
      <c r="G45" s="10" t="s">
        <v>104</v>
      </c>
      <c r="H45" s="10" t="s">
        <v>496</v>
      </c>
      <c r="I45" s="10" t="s">
        <v>465</v>
      </c>
      <c r="J45" s="10" t="s">
        <v>269</v>
      </c>
      <c r="K45" s="10" t="s">
        <v>568</v>
      </c>
      <c r="L45" s="10" t="s">
        <v>367</v>
      </c>
      <c r="M45" s="10" t="s">
        <v>533</v>
      </c>
      <c r="N45" s="10" t="s">
        <v>286</v>
      </c>
      <c r="O45" s="24" t="n">
        <v>140900</v>
      </c>
    </row>
    <row r="46" customFormat="false" ht="15" hidden="false" customHeight="false" outlineLevel="0" collapsed="false">
      <c r="A46" s="10" t="s">
        <v>569</v>
      </c>
      <c r="B46" s="11" t="n">
        <v>45972</v>
      </c>
      <c r="C46" s="10" t="s">
        <v>540</v>
      </c>
      <c r="D46" s="10" t="s">
        <v>478</v>
      </c>
      <c r="E46" s="10" t="s">
        <v>479</v>
      </c>
      <c r="F46" s="24" t="n">
        <v>22</v>
      </c>
      <c r="G46" s="10" t="s">
        <v>128</v>
      </c>
      <c r="H46" s="10" t="s">
        <v>496</v>
      </c>
      <c r="I46" s="10" t="s">
        <v>465</v>
      </c>
      <c r="J46" s="10" t="s">
        <v>269</v>
      </c>
      <c r="K46" s="10" t="s">
        <v>466</v>
      </c>
      <c r="L46" s="10" t="s">
        <v>276</v>
      </c>
      <c r="M46" s="10" t="s">
        <v>533</v>
      </c>
      <c r="N46" s="10" t="s">
        <v>286</v>
      </c>
      <c r="O46" s="24" t="n">
        <v>36800</v>
      </c>
    </row>
    <row r="47" customFormat="false" ht="15" hidden="false" customHeight="false" outlineLevel="0" collapsed="false">
      <c r="A47" s="10" t="s">
        <v>570</v>
      </c>
      <c r="B47" s="11" t="n">
        <v>45973</v>
      </c>
      <c r="C47" s="10" t="s">
        <v>571</v>
      </c>
      <c r="D47" s="10" t="s">
        <v>462</v>
      </c>
      <c r="E47" s="10" t="s">
        <v>463</v>
      </c>
      <c r="F47" s="24" t="n">
        <v>25</v>
      </c>
      <c r="G47" s="10" t="s">
        <v>128</v>
      </c>
      <c r="H47" s="10" t="s">
        <v>496</v>
      </c>
      <c r="I47" s="10" t="s">
        <v>237</v>
      </c>
      <c r="J47" s="10" t="s">
        <v>240</v>
      </c>
      <c r="K47" s="10" t="s">
        <v>430</v>
      </c>
      <c r="L47" s="10" t="s">
        <v>433</v>
      </c>
      <c r="M47" s="10" t="s">
        <v>486</v>
      </c>
      <c r="N47" s="10" t="s">
        <v>428</v>
      </c>
      <c r="O47" s="24" t="n">
        <v>1742000</v>
      </c>
    </row>
    <row r="48" customFormat="false" ht="15" hidden="false" customHeight="false" outlineLevel="0" collapsed="false">
      <c r="A48" s="10" t="s">
        <v>572</v>
      </c>
      <c r="B48" s="11" t="n">
        <v>45975</v>
      </c>
      <c r="C48" s="10" t="s">
        <v>556</v>
      </c>
      <c r="D48" s="10" t="s">
        <v>485</v>
      </c>
      <c r="E48" s="10" t="s">
        <v>557</v>
      </c>
      <c r="F48" s="24" t="n">
        <v>21</v>
      </c>
      <c r="G48" s="10" t="s">
        <v>111</v>
      </c>
      <c r="H48" s="10" t="s">
        <v>480</v>
      </c>
      <c r="I48" s="10" t="s">
        <v>513</v>
      </c>
      <c r="J48" s="10" t="s">
        <v>284</v>
      </c>
      <c r="K48" s="10" t="s">
        <v>430</v>
      </c>
      <c r="L48" s="10" t="s">
        <v>433</v>
      </c>
      <c r="M48" s="10" t="s">
        <v>482</v>
      </c>
      <c r="N48" s="10" t="s">
        <v>428</v>
      </c>
      <c r="O48" s="24" t="n">
        <v>896000</v>
      </c>
    </row>
    <row r="49" customFormat="false" ht="15" hidden="false" customHeight="false" outlineLevel="0" collapsed="false">
      <c r="A49" s="10" t="s">
        <v>573</v>
      </c>
      <c r="B49" s="11" t="n">
        <v>45977</v>
      </c>
      <c r="C49" s="10" t="s">
        <v>574</v>
      </c>
      <c r="D49" s="10" t="s">
        <v>478</v>
      </c>
      <c r="E49" s="10" t="s">
        <v>575</v>
      </c>
      <c r="F49" s="24" t="n">
        <v>4</v>
      </c>
      <c r="G49" s="10" t="s">
        <v>128</v>
      </c>
      <c r="H49" s="10" t="s">
        <v>471</v>
      </c>
      <c r="I49" s="10" t="s">
        <v>465</v>
      </c>
      <c r="J49" s="10" t="s">
        <v>269</v>
      </c>
      <c r="K49" s="10" t="s">
        <v>536</v>
      </c>
      <c r="L49" s="10" t="s">
        <v>354</v>
      </c>
      <c r="M49" s="10" t="s">
        <v>474</v>
      </c>
      <c r="N49" s="10" t="s">
        <v>286</v>
      </c>
      <c r="O49" s="24" t="n">
        <v>49000</v>
      </c>
    </row>
    <row r="50" customFormat="false" ht="15" hidden="false" customHeight="false" outlineLevel="0" collapsed="false">
      <c r="A50" s="10" t="s">
        <v>576</v>
      </c>
      <c r="B50" s="11" t="n">
        <v>45981</v>
      </c>
      <c r="C50" s="10" t="s">
        <v>553</v>
      </c>
      <c r="D50" s="10" t="s">
        <v>495</v>
      </c>
      <c r="E50" s="10" t="s">
        <v>554</v>
      </c>
      <c r="F50" s="24" t="n">
        <v>26</v>
      </c>
      <c r="G50" s="10" t="s">
        <v>111</v>
      </c>
      <c r="H50" s="10" t="s">
        <v>532</v>
      </c>
      <c r="I50" s="10" t="s">
        <v>472</v>
      </c>
      <c r="J50" s="10" t="s">
        <v>293</v>
      </c>
      <c r="K50" s="10" t="s">
        <v>359</v>
      </c>
      <c r="L50" s="10" t="s">
        <v>354</v>
      </c>
      <c r="M50" s="10" t="s">
        <v>482</v>
      </c>
      <c r="N50" s="10" t="s">
        <v>286</v>
      </c>
      <c r="O50" s="24" t="n">
        <v>66000</v>
      </c>
    </row>
    <row r="51" customFormat="false" ht="15" hidden="false" customHeight="false" outlineLevel="0" collapsed="false">
      <c r="A51" s="10" t="s">
        <v>577</v>
      </c>
      <c r="B51" s="11" t="n">
        <v>45982</v>
      </c>
      <c r="C51" s="10" t="s">
        <v>469</v>
      </c>
      <c r="D51" s="10" t="s">
        <v>462</v>
      </c>
      <c r="E51" s="10" t="s">
        <v>470</v>
      </c>
      <c r="F51" s="24" t="n">
        <v>24</v>
      </c>
      <c r="G51" s="10" t="s">
        <v>128</v>
      </c>
      <c r="H51" s="10" t="s">
        <v>471</v>
      </c>
      <c r="I51" s="10" t="s">
        <v>308</v>
      </c>
      <c r="J51" s="10" t="s">
        <v>310</v>
      </c>
      <c r="K51" s="10" t="s">
        <v>578</v>
      </c>
      <c r="L51" s="10" t="s">
        <v>439</v>
      </c>
      <c r="M51" s="10" t="s">
        <v>486</v>
      </c>
      <c r="N51" s="10" t="s">
        <v>475</v>
      </c>
      <c r="O51" s="24" t="n">
        <v>2353000</v>
      </c>
    </row>
    <row r="52" customFormat="false" ht="15" hidden="false" customHeight="false" outlineLevel="0" collapsed="false">
      <c r="A52" s="10" t="s">
        <v>579</v>
      </c>
      <c r="B52" s="11" t="n">
        <v>45985</v>
      </c>
      <c r="C52" s="10" t="s">
        <v>484</v>
      </c>
      <c r="D52" s="10" t="s">
        <v>485</v>
      </c>
      <c r="E52" s="10" t="s">
        <v>479</v>
      </c>
      <c r="F52" s="24" t="n">
        <v>15</v>
      </c>
      <c r="G52" s="10" t="s">
        <v>128</v>
      </c>
      <c r="H52" s="10" t="s">
        <v>496</v>
      </c>
      <c r="I52" s="10" t="s">
        <v>472</v>
      </c>
      <c r="J52" s="10" t="s">
        <v>293</v>
      </c>
      <c r="K52" s="10" t="s">
        <v>530</v>
      </c>
      <c r="L52" s="10" t="s">
        <v>401</v>
      </c>
      <c r="M52" s="10" t="s">
        <v>467</v>
      </c>
      <c r="N52" s="10" t="s">
        <v>244</v>
      </c>
      <c r="O52" s="24" t="n">
        <v>262400</v>
      </c>
    </row>
    <row r="53" customFormat="false" ht="15" hidden="false" customHeight="false" outlineLevel="0" collapsed="false">
      <c r="A53" s="10" t="s">
        <v>580</v>
      </c>
      <c r="B53" s="11" t="n">
        <v>45987</v>
      </c>
      <c r="C53" s="10" t="s">
        <v>488</v>
      </c>
      <c r="D53" s="10" t="s">
        <v>489</v>
      </c>
      <c r="E53" s="10" t="s">
        <v>490</v>
      </c>
      <c r="F53" s="24" t="n">
        <v>25</v>
      </c>
      <c r="G53" s="10" t="s">
        <v>104</v>
      </c>
      <c r="H53" s="10" t="s">
        <v>480</v>
      </c>
      <c r="I53" s="10" t="s">
        <v>308</v>
      </c>
      <c r="J53" s="10" t="s">
        <v>310</v>
      </c>
      <c r="K53" s="10" t="s">
        <v>581</v>
      </c>
      <c r="L53" s="10" t="s">
        <v>389</v>
      </c>
      <c r="M53" s="10" t="s">
        <v>467</v>
      </c>
      <c r="N53" s="10" t="s">
        <v>244</v>
      </c>
      <c r="O53" s="24" t="n">
        <v>177500</v>
      </c>
    </row>
    <row r="54" customFormat="false" ht="15" hidden="false" customHeight="false" outlineLevel="0" collapsed="false">
      <c r="A54" s="10" t="s">
        <v>582</v>
      </c>
      <c r="B54" s="11" t="n">
        <v>45996</v>
      </c>
      <c r="C54" s="10" t="s">
        <v>523</v>
      </c>
      <c r="D54" s="10" t="s">
        <v>524</v>
      </c>
      <c r="E54" s="10" t="s">
        <v>525</v>
      </c>
      <c r="F54" s="24" t="n">
        <v>17</v>
      </c>
      <c r="G54" s="10" t="s">
        <v>128</v>
      </c>
      <c r="H54" s="10" t="s">
        <v>464</v>
      </c>
      <c r="I54" s="10" t="s">
        <v>250</v>
      </c>
      <c r="J54" s="10" t="s">
        <v>240</v>
      </c>
      <c r="K54" s="10" t="s">
        <v>578</v>
      </c>
      <c r="L54" s="10" t="s">
        <v>439</v>
      </c>
      <c r="M54" s="10" t="s">
        <v>467</v>
      </c>
      <c r="N54" s="10" t="s">
        <v>527</v>
      </c>
      <c r="O54" s="24" t="n">
        <v>40800</v>
      </c>
    </row>
    <row r="55" customFormat="false" ht="15" hidden="false" customHeight="false" outlineLevel="0" collapsed="false">
      <c r="A55" s="10" t="s">
        <v>583</v>
      </c>
      <c r="B55" s="11" t="n">
        <v>45997</v>
      </c>
      <c r="C55" s="10" t="s">
        <v>553</v>
      </c>
      <c r="D55" s="10" t="s">
        <v>495</v>
      </c>
      <c r="E55" s="10" t="s">
        <v>554</v>
      </c>
      <c r="F55" s="24" t="n">
        <v>3</v>
      </c>
      <c r="G55" s="10" t="s">
        <v>104</v>
      </c>
      <c r="H55" s="10" t="s">
        <v>503</v>
      </c>
      <c r="I55" s="10" t="s">
        <v>465</v>
      </c>
      <c r="J55" s="10" t="s">
        <v>269</v>
      </c>
      <c r="K55" s="10" t="s">
        <v>250</v>
      </c>
      <c r="L55" s="10" t="s">
        <v>240</v>
      </c>
      <c r="M55" s="10" t="s">
        <v>486</v>
      </c>
      <c r="N55" s="10" t="s">
        <v>286</v>
      </c>
      <c r="O55" s="24" t="n">
        <v>21400</v>
      </c>
    </row>
    <row r="56" customFormat="false" ht="15" hidden="false" customHeight="false" outlineLevel="0" collapsed="false">
      <c r="A56" s="10" t="s">
        <v>584</v>
      </c>
      <c r="B56" s="11" t="n">
        <v>45998</v>
      </c>
      <c r="C56" s="10" t="s">
        <v>469</v>
      </c>
      <c r="D56" s="10" t="s">
        <v>462</v>
      </c>
      <c r="E56" s="10" t="s">
        <v>470</v>
      </c>
      <c r="F56" s="24" t="n">
        <v>5</v>
      </c>
      <c r="G56" s="10" t="s">
        <v>128</v>
      </c>
      <c r="H56" s="10" t="s">
        <v>496</v>
      </c>
      <c r="I56" s="10" t="s">
        <v>513</v>
      </c>
      <c r="J56" s="10" t="s">
        <v>284</v>
      </c>
      <c r="K56" s="10" t="s">
        <v>299</v>
      </c>
      <c r="L56" s="10" t="s">
        <v>240</v>
      </c>
      <c r="M56" s="10" t="s">
        <v>482</v>
      </c>
      <c r="N56" s="10" t="s">
        <v>475</v>
      </c>
      <c r="O56" s="24" t="n">
        <v>5835500</v>
      </c>
    </row>
    <row r="57" customFormat="false" ht="15" hidden="false" customHeight="false" outlineLevel="0" collapsed="false">
      <c r="A57" s="10" t="s">
        <v>585</v>
      </c>
      <c r="B57" s="11" t="n">
        <v>46004</v>
      </c>
      <c r="C57" s="10" t="s">
        <v>556</v>
      </c>
      <c r="D57" s="10" t="s">
        <v>485</v>
      </c>
      <c r="E57" s="10" t="s">
        <v>557</v>
      </c>
      <c r="F57" s="24" t="n">
        <v>19</v>
      </c>
      <c r="G57" s="10" t="s">
        <v>111</v>
      </c>
      <c r="H57" s="10" t="s">
        <v>532</v>
      </c>
      <c r="I57" s="10" t="s">
        <v>250</v>
      </c>
      <c r="J57" s="10" t="s">
        <v>240</v>
      </c>
      <c r="K57" s="10" t="s">
        <v>511</v>
      </c>
      <c r="L57" s="10" t="s">
        <v>293</v>
      </c>
      <c r="M57" s="10" t="s">
        <v>474</v>
      </c>
      <c r="N57" s="10" t="s">
        <v>428</v>
      </c>
      <c r="O57" s="24" t="n">
        <v>554300</v>
      </c>
    </row>
    <row r="58" customFormat="false" ht="15" hidden="false" customHeight="false" outlineLevel="0" collapsed="false">
      <c r="A58" s="10" t="s">
        <v>586</v>
      </c>
      <c r="B58" s="11" t="n">
        <v>46009</v>
      </c>
      <c r="C58" s="10" t="s">
        <v>574</v>
      </c>
      <c r="D58" s="10" t="s">
        <v>478</v>
      </c>
      <c r="E58" s="10" t="s">
        <v>575</v>
      </c>
      <c r="F58" s="24" t="n">
        <v>22</v>
      </c>
      <c r="G58" s="10" t="s">
        <v>104</v>
      </c>
      <c r="H58" s="10" t="s">
        <v>496</v>
      </c>
      <c r="I58" s="10" t="s">
        <v>529</v>
      </c>
      <c r="J58" s="10" t="s">
        <v>262</v>
      </c>
      <c r="K58" s="10" t="s">
        <v>250</v>
      </c>
      <c r="L58" s="10" t="s">
        <v>240</v>
      </c>
      <c r="M58" s="10" t="s">
        <v>533</v>
      </c>
      <c r="N58" s="10" t="s">
        <v>286</v>
      </c>
      <c r="O58" s="24" t="n">
        <v>91000</v>
      </c>
    </row>
    <row r="59" customFormat="false" ht="15" hidden="false" customHeight="false" outlineLevel="0" collapsed="false">
      <c r="A59" s="10" t="s">
        <v>587</v>
      </c>
      <c r="B59" s="11" t="n">
        <v>46010</v>
      </c>
      <c r="C59" s="10" t="s">
        <v>571</v>
      </c>
      <c r="D59" s="10" t="s">
        <v>462</v>
      </c>
      <c r="E59" s="10" t="s">
        <v>463</v>
      </c>
      <c r="F59" s="24" t="n">
        <v>4</v>
      </c>
      <c r="G59" s="10" t="s">
        <v>104</v>
      </c>
      <c r="H59" s="10" t="s">
        <v>496</v>
      </c>
      <c r="I59" s="10" t="s">
        <v>250</v>
      </c>
      <c r="J59" s="10" t="s">
        <v>240</v>
      </c>
      <c r="K59" s="10" t="s">
        <v>299</v>
      </c>
      <c r="L59" s="10" t="s">
        <v>240</v>
      </c>
      <c r="M59" s="10" t="s">
        <v>482</v>
      </c>
      <c r="N59" s="10" t="s">
        <v>428</v>
      </c>
      <c r="O59" s="24" t="n">
        <v>2342700</v>
      </c>
    </row>
    <row r="60" customFormat="false" ht="15" hidden="false" customHeight="false" outlineLevel="0" collapsed="false">
      <c r="A60" s="10" t="s">
        <v>588</v>
      </c>
      <c r="B60" s="11" t="n">
        <v>46012</v>
      </c>
      <c r="C60" s="10" t="s">
        <v>574</v>
      </c>
      <c r="D60" s="10" t="s">
        <v>478</v>
      </c>
      <c r="E60" s="10" t="s">
        <v>575</v>
      </c>
      <c r="F60" s="24" t="n">
        <v>20</v>
      </c>
      <c r="G60" s="10" t="s">
        <v>111</v>
      </c>
      <c r="H60" s="10" t="s">
        <v>532</v>
      </c>
      <c r="I60" s="10" t="s">
        <v>237</v>
      </c>
      <c r="J60" s="10" t="s">
        <v>240</v>
      </c>
      <c r="K60" s="10" t="s">
        <v>473</v>
      </c>
      <c r="L60" s="10" t="s">
        <v>408</v>
      </c>
      <c r="M60" s="10" t="s">
        <v>467</v>
      </c>
      <c r="N60" s="10" t="s">
        <v>286</v>
      </c>
      <c r="O60" s="24" t="n">
        <v>31900</v>
      </c>
    </row>
    <row r="61" customFormat="false" ht="15" hidden="false" customHeight="false" outlineLevel="0" collapsed="false">
      <c r="A61" s="10" t="s">
        <v>589</v>
      </c>
      <c r="B61" s="11" t="n">
        <v>46016</v>
      </c>
      <c r="C61" s="10" t="s">
        <v>484</v>
      </c>
      <c r="D61" s="10" t="s">
        <v>485</v>
      </c>
      <c r="E61" s="10" t="s">
        <v>479</v>
      </c>
      <c r="F61" s="24" t="n">
        <v>22</v>
      </c>
      <c r="G61" s="10" t="s">
        <v>104</v>
      </c>
      <c r="H61" s="10" t="s">
        <v>496</v>
      </c>
      <c r="I61" s="10" t="s">
        <v>237</v>
      </c>
      <c r="J61" s="10" t="s">
        <v>240</v>
      </c>
      <c r="K61" s="10" t="s">
        <v>250</v>
      </c>
      <c r="L61" s="10" t="s">
        <v>240</v>
      </c>
      <c r="M61" s="10" t="s">
        <v>486</v>
      </c>
      <c r="N61" s="10" t="s">
        <v>244</v>
      </c>
      <c r="O61" s="24" t="n">
        <v>362800</v>
      </c>
    </row>
    <row r="62" customFormat="false" ht="15" hidden="false" customHeight="false" outlineLevel="0" collapsed="false">
      <c r="A62" s="10" t="s">
        <v>590</v>
      </c>
      <c r="B62" s="11" t="n">
        <v>46018</v>
      </c>
      <c r="C62" s="10" t="s">
        <v>574</v>
      </c>
      <c r="D62" s="10" t="s">
        <v>478</v>
      </c>
      <c r="E62" s="10" t="s">
        <v>575</v>
      </c>
      <c r="F62" s="24" t="n">
        <v>11</v>
      </c>
      <c r="G62" s="10" t="s">
        <v>104</v>
      </c>
      <c r="H62" s="10" t="s">
        <v>496</v>
      </c>
      <c r="I62" s="10" t="s">
        <v>308</v>
      </c>
      <c r="J62" s="10" t="s">
        <v>310</v>
      </c>
      <c r="K62" s="10" t="s">
        <v>591</v>
      </c>
      <c r="L62" s="10" t="s">
        <v>377</v>
      </c>
      <c r="M62" s="10" t="s">
        <v>486</v>
      </c>
      <c r="N62" s="10" t="s">
        <v>286</v>
      </c>
      <c r="O62" s="24" t="n">
        <v>45200</v>
      </c>
    </row>
    <row r="63" customFormat="false" ht="15" hidden="false" customHeight="false" outlineLevel="0" collapsed="false">
      <c r="A63" s="10" t="s">
        <v>592</v>
      </c>
      <c r="B63" s="11" t="n">
        <v>46019</v>
      </c>
      <c r="C63" s="10" t="s">
        <v>542</v>
      </c>
      <c r="D63" s="10" t="s">
        <v>489</v>
      </c>
      <c r="E63" s="10" t="s">
        <v>479</v>
      </c>
      <c r="F63" s="24" t="n">
        <v>19</v>
      </c>
      <c r="G63" s="10" t="s">
        <v>128</v>
      </c>
      <c r="H63" s="10" t="s">
        <v>471</v>
      </c>
      <c r="I63" s="10" t="s">
        <v>472</v>
      </c>
      <c r="J63" s="10" t="s">
        <v>293</v>
      </c>
      <c r="K63" s="10" t="s">
        <v>323</v>
      </c>
      <c r="L63" s="10" t="s">
        <v>276</v>
      </c>
      <c r="M63" s="10" t="s">
        <v>474</v>
      </c>
      <c r="N63" s="10" t="s">
        <v>244</v>
      </c>
      <c r="O63" s="24" t="n">
        <v>131500</v>
      </c>
    </row>
    <row r="64" customFormat="false" ht="15" hidden="false" customHeight="false" outlineLevel="0" collapsed="false">
      <c r="A64" s="10" t="s">
        <v>593</v>
      </c>
      <c r="B64" s="11" t="n">
        <v>46021</v>
      </c>
      <c r="C64" s="10" t="s">
        <v>574</v>
      </c>
      <c r="D64" s="10" t="s">
        <v>478</v>
      </c>
      <c r="E64" s="10" t="s">
        <v>575</v>
      </c>
      <c r="F64" s="24" t="n">
        <v>10</v>
      </c>
      <c r="G64" s="10" t="s">
        <v>104</v>
      </c>
      <c r="H64" s="10" t="s">
        <v>496</v>
      </c>
      <c r="I64" s="10" t="s">
        <v>465</v>
      </c>
      <c r="J64" s="10" t="s">
        <v>269</v>
      </c>
      <c r="K64" s="10" t="s">
        <v>581</v>
      </c>
      <c r="L64" s="10" t="s">
        <v>389</v>
      </c>
      <c r="M64" s="10" t="s">
        <v>533</v>
      </c>
      <c r="N64" s="10" t="s">
        <v>286</v>
      </c>
      <c r="O64" s="24" t="n">
        <v>18400</v>
      </c>
    </row>
    <row r="65" customFormat="false" ht="15" hidden="false" customHeight="false" outlineLevel="0" collapsed="false">
      <c r="A65" s="10" t="s">
        <v>594</v>
      </c>
      <c r="B65" s="11" t="n">
        <v>46027</v>
      </c>
      <c r="C65" s="10" t="s">
        <v>550</v>
      </c>
      <c r="D65" s="10" t="s">
        <v>485</v>
      </c>
      <c r="E65" s="10" t="s">
        <v>479</v>
      </c>
      <c r="F65" s="24" t="n">
        <v>12</v>
      </c>
      <c r="G65" s="10" t="s">
        <v>104</v>
      </c>
      <c r="H65" s="10" t="s">
        <v>496</v>
      </c>
      <c r="I65" s="10" t="s">
        <v>472</v>
      </c>
      <c r="J65" s="10" t="s">
        <v>293</v>
      </c>
      <c r="K65" s="10" t="s">
        <v>250</v>
      </c>
      <c r="L65" s="10" t="s">
        <v>240</v>
      </c>
      <c r="M65" s="10" t="s">
        <v>467</v>
      </c>
      <c r="N65" s="10" t="s">
        <v>244</v>
      </c>
      <c r="O65" s="24" t="n">
        <v>552200</v>
      </c>
    </row>
    <row r="66" customFormat="false" ht="15" hidden="false" customHeight="false" outlineLevel="0" collapsed="false">
      <c r="A66" s="10" t="s">
        <v>595</v>
      </c>
      <c r="B66" s="11" t="n">
        <v>46031</v>
      </c>
      <c r="C66" s="10" t="s">
        <v>469</v>
      </c>
      <c r="D66" s="10" t="s">
        <v>462</v>
      </c>
      <c r="E66" s="10" t="s">
        <v>470</v>
      </c>
      <c r="F66" s="24" t="n">
        <v>7</v>
      </c>
      <c r="G66" s="10" t="s">
        <v>128</v>
      </c>
      <c r="H66" s="10" t="s">
        <v>464</v>
      </c>
      <c r="I66" s="10" t="s">
        <v>529</v>
      </c>
      <c r="J66" s="10" t="s">
        <v>262</v>
      </c>
      <c r="K66" s="10" t="s">
        <v>511</v>
      </c>
      <c r="L66" s="10" t="s">
        <v>293</v>
      </c>
      <c r="M66" s="10" t="s">
        <v>467</v>
      </c>
      <c r="N66" s="10" t="s">
        <v>475</v>
      </c>
      <c r="O66" s="24" t="n">
        <v>5991600</v>
      </c>
    </row>
    <row r="67" customFormat="false" ht="15" hidden="false" customHeight="false" outlineLevel="0" collapsed="false">
      <c r="A67" s="10" t="s">
        <v>596</v>
      </c>
      <c r="B67" s="11" t="n">
        <v>46033</v>
      </c>
      <c r="C67" s="10" t="s">
        <v>540</v>
      </c>
      <c r="D67" s="10" t="s">
        <v>478</v>
      </c>
      <c r="E67" s="10" t="s">
        <v>479</v>
      </c>
      <c r="F67" s="24" t="n">
        <v>25</v>
      </c>
      <c r="G67" s="10" t="s">
        <v>111</v>
      </c>
      <c r="H67" s="10" t="s">
        <v>532</v>
      </c>
      <c r="I67" s="10" t="s">
        <v>466</v>
      </c>
      <c r="J67" s="10" t="s">
        <v>276</v>
      </c>
      <c r="K67" s="10" t="s">
        <v>481</v>
      </c>
      <c r="L67" s="10" t="s">
        <v>419</v>
      </c>
      <c r="M67" s="10" t="s">
        <v>486</v>
      </c>
      <c r="N67" s="10" t="s">
        <v>286</v>
      </c>
      <c r="O67" s="24" t="n">
        <v>69700</v>
      </c>
    </row>
    <row r="68" customFormat="false" ht="15" hidden="false" customHeight="false" outlineLevel="0" collapsed="false">
      <c r="A68" s="10" t="s">
        <v>597</v>
      </c>
      <c r="B68" s="11" t="n">
        <v>46038</v>
      </c>
      <c r="C68" s="10" t="s">
        <v>556</v>
      </c>
      <c r="D68" s="10" t="s">
        <v>485</v>
      </c>
      <c r="E68" s="10" t="s">
        <v>557</v>
      </c>
      <c r="F68" s="24" t="n">
        <v>16</v>
      </c>
      <c r="G68" s="10" t="s">
        <v>104</v>
      </c>
      <c r="H68" s="10" t="s">
        <v>503</v>
      </c>
      <c r="I68" s="10" t="s">
        <v>513</v>
      </c>
      <c r="J68" s="10" t="s">
        <v>284</v>
      </c>
      <c r="K68" s="10" t="s">
        <v>591</v>
      </c>
      <c r="L68" s="10" t="s">
        <v>377</v>
      </c>
      <c r="M68" s="10" t="s">
        <v>482</v>
      </c>
      <c r="N68" s="10" t="s">
        <v>428</v>
      </c>
      <c r="O68" s="24" t="n">
        <v>379000</v>
      </c>
    </row>
    <row r="69" customFormat="false" ht="15" hidden="false" customHeight="false" outlineLevel="0" collapsed="false">
      <c r="A69" s="10" t="s">
        <v>598</v>
      </c>
      <c r="B69" s="11" t="n">
        <v>46042</v>
      </c>
      <c r="C69" s="10" t="s">
        <v>574</v>
      </c>
      <c r="D69" s="10" t="s">
        <v>478</v>
      </c>
      <c r="E69" s="10" t="s">
        <v>575</v>
      </c>
      <c r="F69" s="24" t="n">
        <v>19</v>
      </c>
      <c r="G69" s="10" t="s">
        <v>128</v>
      </c>
      <c r="H69" s="10" t="s">
        <v>471</v>
      </c>
      <c r="I69" s="10" t="s">
        <v>472</v>
      </c>
      <c r="J69" s="10" t="s">
        <v>293</v>
      </c>
      <c r="K69" s="10" t="s">
        <v>530</v>
      </c>
      <c r="L69" s="10" t="s">
        <v>401</v>
      </c>
      <c r="M69" s="10" t="s">
        <v>486</v>
      </c>
      <c r="N69" s="10" t="s">
        <v>286</v>
      </c>
      <c r="O69" s="24" t="n">
        <v>118900</v>
      </c>
    </row>
    <row r="70" customFormat="false" ht="15" hidden="false" customHeight="false" outlineLevel="0" collapsed="false">
      <c r="A70" s="10" t="s">
        <v>599</v>
      </c>
      <c r="B70" s="11" t="n">
        <v>46053</v>
      </c>
      <c r="C70" s="10" t="s">
        <v>523</v>
      </c>
      <c r="D70" s="10" t="s">
        <v>524</v>
      </c>
      <c r="E70" s="10" t="s">
        <v>525</v>
      </c>
      <c r="F70" s="24" t="n">
        <v>6</v>
      </c>
      <c r="G70" s="10" t="s">
        <v>104</v>
      </c>
      <c r="H70" s="10" t="s">
        <v>503</v>
      </c>
      <c r="I70" s="10" t="s">
        <v>465</v>
      </c>
      <c r="J70" s="10" t="s">
        <v>269</v>
      </c>
      <c r="K70" s="10" t="s">
        <v>581</v>
      </c>
      <c r="L70" s="10" t="s">
        <v>389</v>
      </c>
      <c r="M70" s="10" t="s">
        <v>497</v>
      </c>
      <c r="N70" s="10" t="s">
        <v>527</v>
      </c>
      <c r="O70" s="24" t="n">
        <v>60600</v>
      </c>
    </row>
    <row r="71" customFormat="false" ht="15" hidden="false" customHeight="false" outlineLevel="0" collapsed="false">
      <c r="A71" s="10" t="s">
        <v>600</v>
      </c>
      <c r="B71" s="11" t="n">
        <v>46056</v>
      </c>
      <c r="C71" s="10" t="s">
        <v>494</v>
      </c>
      <c r="D71" s="10" t="s">
        <v>495</v>
      </c>
      <c r="E71" s="10" t="s">
        <v>490</v>
      </c>
      <c r="F71" s="24" t="n">
        <v>15</v>
      </c>
      <c r="G71" s="10" t="s">
        <v>491</v>
      </c>
      <c r="H71" s="10" t="s">
        <v>492</v>
      </c>
      <c r="I71" s="10" t="s">
        <v>465</v>
      </c>
      <c r="J71" s="10" t="s">
        <v>269</v>
      </c>
      <c r="K71" s="10" t="s">
        <v>526</v>
      </c>
      <c r="L71" s="10" t="s">
        <v>445</v>
      </c>
      <c r="M71" s="10" t="s">
        <v>486</v>
      </c>
      <c r="N71" s="10" t="s">
        <v>286</v>
      </c>
      <c r="O71" s="24" t="n">
        <v>77000</v>
      </c>
    </row>
    <row r="72" customFormat="false" ht="15" hidden="false" customHeight="false" outlineLevel="0" collapsed="false">
      <c r="A72" s="10" t="s">
        <v>601</v>
      </c>
      <c r="B72" s="11" t="n">
        <v>46066</v>
      </c>
      <c r="C72" s="10" t="s">
        <v>574</v>
      </c>
      <c r="D72" s="10" t="s">
        <v>478</v>
      </c>
      <c r="E72" s="10" t="s">
        <v>575</v>
      </c>
      <c r="F72" s="24" t="n">
        <v>13</v>
      </c>
      <c r="G72" s="10" t="s">
        <v>111</v>
      </c>
      <c r="H72" s="10" t="s">
        <v>532</v>
      </c>
      <c r="I72" s="10" t="s">
        <v>308</v>
      </c>
      <c r="J72" s="10" t="s">
        <v>310</v>
      </c>
      <c r="K72" s="10" t="s">
        <v>473</v>
      </c>
      <c r="L72" s="10" t="s">
        <v>408</v>
      </c>
      <c r="M72" s="10" t="s">
        <v>474</v>
      </c>
      <c r="N72" s="10" t="s">
        <v>286</v>
      </c>
      <c r="O72" s="24" t="n">
        <v>107900</v>
      </c>
    </row>
    <row r="73" customFormat="false" ht="15" hidden="false" customHeight="false" outlineLevel="0" collapsed="false">
      <c r="A73" s="10" t="s">
        <v>602</v>
      </c>
      <c r="B73" s="11" t="n">
        <v>46068</v>
      </c>
      <c r="C73" s="10" t="s">
        <v>499</v>
      </c>
      <c r="D73" s="10" t="s">
        <v>462</v>
      </c>
      <c r="E73" s="10" t="s">
        <v>500</v>
      </c>
      <c r="F73" s="24" t="n">
        <v>6</v>
      </c>
      <c r="G73" s="10" t="s">
        <v>128</v>
      </c>
      <c r="H73" s="10" t="s">
        <v>464</v>
      </c>
      <c r="I73" s="10" t="s">
        <v>513</v>
      </c>
      <c r="J73" s="10" t="s">
        <v>284</v>
      </c>
      <c r="K73" s="10" t="s">
        <v>546</v>
      </c>
      <c r="L73" s="10" t="s">
        <v>284</v>
      </c>
      <c r="M73" s="10" t="s">
        <v>486</v>
      </c>
      <c r="N73" s="10" t="s">
        <v>428</v>
      </c>
      <c r="O73" s="24" t="n">
        <v>102700</v>
      </c>
    </row>
    <row r="74" customFormat="false" ht="15" hidden="false" customHeight="false" outlineLevel="0" collapsed="false">
      <c r="A74" s="10" t="s">
        <v>603</v>
      </c>
      <c r="B74" s="11" t="n">
        <v>46069</v>
      </c>
      <c r="C74" s="10" t="s">
        <v>499</v>
      </c>
      <c r="D74" s="10" t="s">
        <v>462</v>
      </c>
      <c r="E74" s="10" t="s">
        <v>500</v>
      </c>
      <c r="F74" s="24" t="n">
        <v>8</v>
      </c>
      <c r="G74" s="10" t="s">
        <v>491</v>
      </c>
      <c r="H74" s="10" t="s">
        <v>492</v>
      </c>
      <c r="I74" s="10" t="s">
        <v>465</v>
      </c>
      <c r="J74" s="10" t="s">
        <v>269</v>
      </c>
      <c r="K74" s="10" t="s">
        <v>568</v>
      </c>
      <c r="L74" s="10" t="s">
        <v>367</v>
      </c>
      <c r="M74" s="10" t="s">
        <v>482</v>
      </c>
      <c r="N74" s="10" t="s">
        <v>428</v>
      </c>
      <c r="O74" s="24" t="n">
        <v>230800</v>
      </c>
    </row>
    <row r="75" customFormat="false" ht="15" hidden="false" customHeight="false" outlineLevel="0" collapsed="false">
      <c r="A75" s="10" t="s">
        <v>604</v>
      </c>
      <c r="B75" s="11" t="n">
        <v>46074</v>
      </c>
      <c r="C75" s="10" t="s">
        <v>484</v>
      </c>
      <c r="D75" s="10" t="s">
        <v>485</v>
      </c>
      <c r="E75" s="10" t="s">
        <v>479</v>
      </c>
      <c r="F75" s="24" t="n">
        <v>26</v>
      </c>
      <c r="G75" s="10" t="s">
        <v>104</v>
      </c>
      <c r="H75" s="10" t="s">
        <v>496</v>
      </c>
      <c r="I75" s="10" t="s">
        <v>465</v>
      </c>
      <c r="J75" s="10" t="s">
        <v>269</v>
      </c>
      <c r="K75" s="10" t="s">
        <v>581</v>
      </c>
      <c r="L75" s="10" t="s">
        <v>389</v>
      </c>
      <c r="M75" s="10" t="s">
        <v>497</v>
      </c>
      <c r="N75" s="10" t="s">
        <v>244</v>
      </c>
      <c r="O75" s="24" t="n">
        <v>367900</v>
      </c>
    </row>
    <row r="76" customFormat="false" ht="15" hidden="false" customHeight="false" outlineLevel="0" collapsed="false">
      <c r="A76" s="10" t="s">
        <v>605</v>
      </c>
      <c r="B76" s="11" t="n">
        <v>46075</v>
      </c>
      <c r="C76" s="10" t="s">
        <v>542</v>
      </c>
      <c r="D76" s="10" t="s">
        <v>489</v>
      </c>
      <c r="E76" s="10" t="s">
        <v>479</v>
      </c>
      <c r="F76" s="24" t="n">
        <v>5</v>
      </c>
      <c r="G76" s="10" t="s">
        <v>104</v>
      </c>
      <c r="H76" s="10" t="s">
        <v>503</v>
      </c>
      <c r="I76" s="10" t="s">
        <v>466</v>
      </c>
      <c r="J76" s="10" t="s">
        <v>276</v>
      </c>
      <c r="K76" s="10" t="s">
        <v>581</v>
      </c>
      <c r="L76" s="10" t="s">
        <v>389</v>
      </c>
      <c r="M76" s="10" t="s">
        <v>486</v>
      </c>
      <c r="N76" s="10" t="s">
        <v>244</v>
      </c>
      <c r="O76" s="24" t="n">
        <v>45500</v>
      </c>
    </row>
    <row r="77" customFormat="false" ht="15" hidden="false" customHeight="false" outlineLevel="0" collapsed="false">
      <c r="A77" s="10" t="s">
        <v>606</v>
      </c>
      <c r="B77" s="11" t="n">
        <v>46079</v>
      </c>
      <c r="C77" s="10" t="s">
        <v>540</v>
      </c>
      <c r="D77" s="10" t="s">
        <v>478</v>
      </c>
      <c r="E77" s="10" t="s">
        <v>479</v>
      </c>
      <c r="F77" s="24" t="n">
        <v>7</v>
      </c>
      <c r="G77" s="10" t="s">
        <v>111</v>
      </c>
      <c r="H77" s="10" t="s">
        <v>517</v>
      </c>
      <c r="I77" s="10" t="s">
        <v>308</v>
      </c>
      <c r="J77" s="10" t="s">
        <v>310</v>
      </c>
      <c r="K77" s="10" t="s">
        <v>359</v>
      </c>
      <c r="L77" s="10" t="s">
        <v>354</v>
      </c>
      <c r="M77" s="10" t="s">
        <v>497</v>
      </c>
      <c r="N77" s="10" t="s">
        <v>286</v>
      </c>
      <c r="O77" s="24" t="n">
        <v>133600</v>
      </c>
    </row>
    <row r="78" customFormat="false" ht="15" hidden="false" customHeight="false" outlineLevel="0" collapsed="false">
      <c r="A78" s="10" t="s">
        <v>607</v>
      </c>
      <c r="B78" s="11" t="n">
        <v>46091</v>
      </c>
      <c r="C78" s="10" t="s">
        <v>469</v>
      </c>
      <c r="D78" s="10" t="s">
        <v>462</v>
      </c>
      <c r="E78" s="10" t="s">
        <v>470</v>
      </c>
      <c r="F78" s="24" t="n">
        <v>5</v>
      </c>
      <c r="G78" s="10" t="s">
        <v>128</v>
      </c>
      <c r="H78" s="10" t="s">
        <v>496</v>
      </c>
      <c r="I78" s="10" t="s">
        <v>250</v>
      </c>
      <c r="J78" s="10" t="s">
        <v>240</v>
      </c>
      <c r="K78" s="10" t="s">
        <v>578</v>
      </c>
      <c r="L78" s="10" t="s">
        <v>439</v>
      </c>
      <c r="M78" s="10" t="s">
        <v>486</v>
      </c>
      <c r="N78" s="10" t="s">
        <v>475</v>
      </c>
      <c r="O78" s="24" t="n">
        <v>4683400</v>
      </c>
    </row>
    <row r="79" customFormat="false" ht="15" hidden="false" customHeight="false" outlineLevel="0" collapsed="false">
      <c r="A79" s="10" t="s">
        <v>608</v>
      </c>
      <c r="B79" s="11" t="n">
        <v>46095</v>
      </c>
      <c r="C79" s="10" t="s">
        <v>488</v>
      </c>
      <c r="D79" s="10" t="s">
        <v>489</v>
      </c>
      <c r="E79" s="10" t="s">
        <v>490</v>
      </c>
      <c r="F79" s="24" t="n">
        <v>20</v>
      </c>
      <c r="G79" s="10" t="s">
        <v>111</v>
      </c>
      <c r="H79" s="10" t="s">
        <v>532</v>
      </c>
      <c r="I79" s="10" t="s">
        <v>513</v>
      </c>
      <c r="J79" s="10" t="s">
        <v>284</v>
      </c>
      <c r="K79" s="10" t="s">
        <v>546</v>
      </c>
      <c r="L79" s="10" t="s">
        <v>284</v>
      </c>
      <c r="M79" s="10" t="s">
        <v>474</v>
      </c>
      <c r="N79" s="10" t="s">
        <v>244</v>
      </c>
      <c r="O79" s="24" t="n">
        <v>203500</v>
      </c>
    </row>
    <row r="80" customFormat="false" ht="15" hidden="false" customHeight="false" outlineLevel="0" collapsed="false">
      <c r="A80" s="10" t="s">
        <v>609</v>
      </c>
      <c r="B80" s="11" t="n">
        <v>46097</v>
      </c>
      <c r="C80" s="10" t="s">
        <v>523</v>
      </c>
      <c r="D80" s="10" t="s">
        <v>524</v>
      </c>
      <c r="E80" s="10" t="s">
        <v>525</v>
      </c>
      <c r="F80" s="24" t="n">
        <v>23</v>
      </c>
      <c r="G80" s="10" t="s">
        <v>104</v>
      </c>
      <c r="H80" s="10" t="s">
        <v>503</v>
      </c>
      <c r="I80" s="10" t="s">
        <v>237</v>
      </c>
      <c r="J80" s="10" t="s">
        <v>240</v>
      </c>
      <c r="K80" s="10" t="s">
        <v>515</v>
      </c>
      <c r="L80" s="10" t="s">
        <v>372</v>
      </c>
      <c r="M80" s="10" t="s">
        <v>482</v>
      </c>
      <c r="N80" s="10" t="s">
        <v>527</v>
      </c>
      <c r="O80" s="24" t="n">
        <v>39200</v>
      </c>
    </row>
    <row r="81" customFormat="false" ht="15" hidden="false" customHeight="false" outlineLevel="0" collapsed="false">
      <c r="A81" s="10" t="s">
        <v>610</v>
      </c>
      <c r="B81" s="11" t="n">
        <v>46098</v>
      </c>
      <c r="C81" s="10" t="s">
        <v>477</v>
      </c>
      <c r="D81" s="10" t="s">
        <v>478</v>
      </c>
      <c r="E81" s="10" t="s">
        <v>479</v>
      </c>
      <c r="F81" s="24" t="n">
        <v>12</v>
      </c>
      <c r="G81" s="10" t="s">
        <v>128</v>
      </c>
      <c r="H81" s="10" t="s">
        <v>496</v>
      </c>
      <c r="I81" s="10" t="s">
        <v>237</v>
      </c>
      <c r="J81" s="10" t="s">
        <v>240</v>
      </c>
      <c r="K81" s="10" t="s">
        <v>578</v>
      </c>
      <c r="L81" s="10" t="s">
        <v>439</v>
      </c>
      <c r="M81" s="10" t="s">
        <v>497</v>
      </c>
      <c r="N81" s="10" t="s">
        <v>286</v>
      </c>
      <c r="O81" s="24" t="n">
        <v>55400</v>
      </c>
    </row>
    <row r="82" customFormat="false" ht="15" hidden="false" customHeight="false" outlineLevel="0" collapsed="false">
      <c r="A82" s="10" t="s">
        <v>611</v>
      </c>
      <c r="B82" s="11" t="n">
        <v>46104</v>
      </c>
      <c r="C82" s="10" t="s">
        <v>542</v>
      </c>
      <c r="D82" s="10" t="s">
        <v>489</v>
      </c>
      <c r="E82" s="10" t="s">
        <v>479</v>
      </c>
      <c r="F82" s="24" t="n">
        <v>20</v>
      </c>
      <c r="G82" s="10" t="s">
        <v>128</v>
      </c>
      <c r="H82" s="10" t="s">
        <v>464</v>
      </c>
      <c r="I82" s="10" t="s">
        <v>529</v>
      </c>
      <c r="J82" s="10" t="s">
        <v>262</v>
      </c>
      <c r="K82" s="10" t="s">
        <v>530</v>
      </c>
      <c r="L82" s="10" t="s">
        <v>401</v>
      </c>
      <c r="M82" s="10" t="s">
        <v>467</v>
      </c>
      <c r="N82" s="10" t="s">
        <v>244</v>
      </c>
      <c r="O82" s="24" t="n">
        <v>153500</v>
      </c>
    </row>
    <row r="83" customFormat="false" ht="15" hidden="false" customHeight="false" outlineLevel="0" collapsed="false">
      <c r="A83" s="10" t="s">
        <v>612</v>
      </c>
      <c r="B83" s="11" t="n">
        <v>46113</v>
      </c>
      <c r="C83" s="10" t="s">
        <v>494</v>
      </c>
      <c r="D83" s="10" t="s">
        <v>495</v>
      </c>
      <c r="E83" s="10" t="s">
        <v>490</v>
      </c>
      <c r="F83" s="24" t="n">
        <v>25</v>
      </c>
      <c r="G83" s="10" t="s">
        <v>128</v>
      </c>
      <c r="H83" s="10" t="s">
        <v>496</v>
      </c>
      <c r="I83" s="10" t="s">
        <v>472</v>
      </c>
      <c r="J83" s="10" t="s">
        <v>293</v>
      </c>
      <c r="K83" s="10" t="s">
        <v>466</v>
      </c>
      <c r="L83" s="10" t="s">
        <v>276</v>
      </c>
      <c r="M83" s="10" t="s">
        <v>467</v>
      </c>
      <c r="N83" s="10" t="s">
        <v>286</v>
      </c>
      <c r="O83" s="24" t="n">
        <v>114000</v>
      </c>
    </row>
    <row r="84" customFormat="false" ht="15" hidden="false" customHeight="false" outlineLevel="0" collapsed="false">
      <c r="A84" s="10" t="s">
        <v>613</v>
      </c>
      <c r="B84" s="11" t="n">
        <v>46113</v>
      </c>
      <c r="C84" s="10" t="s">
        <v>502</v>
      </c>
      <c r="D84" s="10" t="s">
        <v>489</v>
      </c>
      <c r="E84" s="10" t="s">
        <v>479</v>
      </c>
      <c r="F84" s="24" t="n">
        <v>24</v>
      </c>
      <c r="G84" s="10" t="s">
        <v>104</v>
      </c>
      <c r="H84" s="10" t="s">
        <v>480</v>
      </c>
      <c r="I84" s="10" t="s">
        <v>529</v>
      </c>
      <c r="J84" s="10" t="s">
        <v>262</v>
      </c>
      <c r="K84" s="10" t="s">
        <v>338</v>
      </c>
      <c r="L84" s="10" t="s">
        <v>262</v>
      </c>
      <c r="M84" s="10" t="s">
        <v>533</v>
      </c>
      <c r="N84" s="10" t="s">
        <v>244</v>
      </c>
      <c r="O84" s="24" t="n">
        <v>73600</v>
      </c>
    </row>
    <row r="85" customFormat="false" ht="15" hidden="false" customHeight="false" outlineLevel="0" collapsed="false">
      <c r="A85" s="10" t="s">
        <v>614</v>
      </c>
      <c r="B85" s="11" t="n">
        <v>46114</v>
      </c>
      <c r="C85" s="10" t="s">
        <v>502</v>
      </c>
      <c r="D85" s="10" t="s">
        <v>489</v>
      </c>
      <c r="E85" s="10" t="s">
        <v>479</v>
      </c>
      <c r="F85" s="24" t="n">
        <v>3</v>
      </c>
      <c r="G85" s="10" t="s">
        <v>104</v>
      </c>
      <c r="H85" s="10" t="s">
        <v>480</v>
      </c>
      <c r="I85" s="10" t="s">
        <v>308</v>
      </c>
      <c r="J85" s="10" t="s">
        <v>310</v>
      </c>
      <c r="K85" s="10" t="s">
        <v>338</v>
      </c>
      <c r="L85" s="10" t="s">
        <v>262</v>
      </c>
      <c r="M85" s="10" t="s">
        <v>486</v>
      </c>
      <c r="N85" s="10" t="s">
        <v>244</v>
      </c>
      <c r="O85" s="24" t="n">
        <v>99000</v>
      </c>
    </row>
    <row r="86" customFormat="false" ht="15" hidden="false" customHeight="false" outlineLevel="0" collapsed="false">
      <c r="A86" s="10" t="s">
        <v>615</v>
      </c>
      <c r="B86" s="11" t="n">
        <v>46116</v>
      </c>
      <c r="C86" s="10" t="s">
        <v>523</v>
      </c>
      <c r="D86" s="10" t="s">
        <v>524</v>
      </c>
      <c r="E86" s="10" t="s">
        <v>525</v>
      </c>
      <c r="F86" s="24" t="n">
        <v>6</v>
      </c>
      <c r="G86" s="10" t="s">
        <v>104</v>
      </c>
      <c r="H86" s="10" t="s">
        <v>496</v>
      </c>
      <c r="I86" s="10" t="s">
        <v>250</v>
      </c>
      <c r="J86" s="10" t="s">
        <v>240</v>
      </c>
      <c r="K86" s="10" t="s">
        <v>299</v>
      </c>
      <c r="L86" s="10" t="s">
        <v>240</v>
      </c>
      <c r="M86" s="10" t="s">
        <v>467</v>
      </c>
      <c r="N86" s="10" t="s">
        <v>527</v>
      </c>
      <c r="O86" s="24" t="n">
        <v>88500</v>
      </c>
    </row>
    <row r="87" customFormat="false" ht="15" hidden="false" customHeight="false" outlineLevel="0" collapsed="false">
      <c r="A87" s="10" t="s">
        <v>616</v>
      </c>
      <c r="B87" s="11" t="n">
        <v>46117</v>
      </c>
      <c r="C87" s="10" t="s">
        <v>499</v>
      </c>
      <c r="D87" s="10" t="s">
        <v>462</v>
      </c>
      <c r="E87" s="10" t="s">
        <v>500</v>
      </c>
      <c r="F87" s="24" t="n">
        <v>9</v>
      </c>
      <c r="G87" s="10" t="s">
        <v>128</v>
      </c>
      <c r="H87" s="10" t="s">
        <v>471</v>
      </c>
      <c r="I87" s="10" t="s">
        <v>308</v>
      </c>
      <c r="J87" s="10" t="s">
        <v>310</v>
      </c>
      <c r="K87" s="10" t="s">
        <v>345</v>
      </c>
      <c r="L87" s="10" t="s">
        <v>276</v>
      </c>
      <c r="M87" s="10" t="s">
        <v>497</v>
      </c>
      <c r="N87" s="10" t="s">
        <v>428</v>
      </c>
      <c r="O87" s="24" t="n">
        <v>178500</v>
      </c>
    </row>
    <row r="88" customFormat="false" ht="15" hidden="false" customHeight="false" outlineLevel="0" collapsed="false">
      <c r="A88" s="10" t="s">
        <v>617</v>
      </c>
      <c r="B88" s="11" t="n">
        <v>46117</v>
      </c>
      <c r="C88" s="10" t="s">
        <v>477</v>
      </c>
      <c r="D88" s="10" t="s">
        <v>478</v>
      </c>
      <c r="E88" s="10" t="s">
        <v>479</v>
      </c>
      <c r="F88" s="24" t="n">
        <v>22</v>
      </c>
      <c r="G88" s="10" t="s">
        <v>104</v>
      </c>
      <c r="H88" s="10" t="s">
        <v>503</v>
      </c>
      <c r="I88" s="10" t="s">
        <v>237</v>
      </c>
      <c r="J88" s="10" t="s">
        <v>240</v>
      </c>
      <c r="K88" s="10" t="s">
        <v>504</v>
      </c>
      <c r="L88" s="10" t="s">
        <v>384</v>
      </c>
      <c r="M88" s="10" t="s">
        <v>486</v>
      </c>
      <c r="N88" s="10" t="s">
        <v>286</v>
      </c>
      <c r="O88" s="24" t="n">
        <v>68700</v>
      </c>
    </row>
    <row r="89" customFormat="false" ht="15" hidden="false" customHeight="false" outlineLevel="0" collapsed="false">
      <c r="A89" s="10" t="s">
        <v>618</v>
      </c>
      <c r="B89" s="11" t="n">
        <v>46121</v>
      </c>
      <c r="C89" s="10" t="s">
        <v>499</v>
      </c>
      <c r="D89" s="10" t="s">
        <v>462</v>
      </c>
      <c r="E89" s="10" t="s">
        <v>500</v>
      </c>
      <c r="F89" s="24" t="n">
        <v>21</v>
      </c>
      <c r="G89" s="10" t="s">
        <v>128</v>
      </c>
      <c r="H89" s="10" t="s">
        <v>464</v>
      </c>
      <c r="I89" s="10" t="s">
        <v>529</v>
      </c>
      <c r="J89" s="10" t="s">
        <v>262</v>
      </c>
      <c r="K89" s="10" t="s">
        <v>323</v>
      </c>
      <c r="L89" s="10" t="s">
        <v>276</v>
      </c>
      <c r="M89" s="10" t="s">
        <v>486</v>
      </c>
      <c r="N89" s="10" t="s">
        <v>428</v>
      </c>
      <c r="O89" s="24" t="n">
        <v>60000</v>
      </c>
    </row>
    <row r="90" customFormat="false" ht="15" hidden="false" customHeight="false" outlineLevel="0" collapsed="false">
      <c r="A90" s="10" t="s">
        <v>619</v>
      </c>
      <c r="B90" s="11" t="n">
        <v>46123</v>
      </c>
      <c r="C90" s="10" t="s">
        <v>506</v>
      </c>
      <c r="D90" s="10" t="s">
        <v>485</v>
      </c>
      <c r="E90" s="10" t="s">
        <v>507</v>
      </c>
      <c r="F90" s="24" t="n">
        <v>23</v>
      </c>
      <c r="G90" s="10" t="s">
        <v>111</v>
      </c>
      <c r="H90" s="10" t="s">
        <v>517</v>
      </c>
      <c r="I90" s="10" t="s">
        <v>465</v>
      </c>
      <c r="J90" s="10" t="s">
        <v>269</v>
      </c>
      <c r="K90" s="10" t="s">
        <v>473</v>
      </c>
      <c r="L90" s="10" t="s">
        <v>408</v>
      </c>
      <c r="M90" s="10" t="s">
        <v>482</v>
      </c>
      <c r="N90" s="10" t="s">
        <v>428</v>
      </c>
      <c r="O90" s="24" t="n">
        <v>1688800</v>
      </c>
    </row>
    <row r="91" customFormat="false" ht="15" hidden="false" customHeight="false" outlineLevel="0" collapsed="false">
      <c r="A91" s="10" t="s">
        <v>620</v>
      </c>
      <c r="B91" s="11" t="n">
        <v>46123</v>
      </c>
      <c r="C91" s="10" t="s">
        <v>542</v>
      </c>
      <c r="D91" s="10" t="s">
        <v>489</v>
      </c>
      <c r="E91" s="10" t="s">
        <v>479</v>
      </c>
      <c r="F91" s="24" t="n">
        <v>9</v>
      </c>
      <c r="G91" s="10" t="s">
        <v>104</v>
      </c>
      <c r="H91" s="10" t="s">
        <v>496</v>
      </c>
      <c r="I91" s="10" t="s">
        <v>472</v>
      </c>
      <c r="J91" s="10" t="s">
        <v>293</v>
      </c>
      <c r="K91" s="10" t="s">
        <v>465</v>
      </c>
      <c r="L91" s="10" t="s">
        <v>269</v>
      </c>
      <c r="M91" s="10" t="s">
        <v>482</v>
      </c>
      <c r="N91" s="10" t="s">
        <v>244</v>
      </c>
      <c r="O91" s="24" t="n">
        <v>148200</v>
      </c>
    </row>
    <row r="92" customFormat="false" ht="15" hidden="false" customHeight="false" outlineLevel="0" collapsed="false">
      <c r="A92" s="10" t="s">
        <v>621</v>
      </c>
      <c r="B92" s="11" t="n">
        <v>46124</v>
      </c>
      <c r="C92" s="10" t="s">
        <v>550</v>
      </c>
      <c r="D92" s="10" t="s">
        <v>485</v>
      </c>
      <c r="E92" s="10" t="s">
        <v>479</v>
      </c>
      <c r="F92" s="24" t="n">
        <v>6</v>
      </c>
      <c r="G92" s="10" t="s">
        <v>111</v>
      </c>
      <c r="H92" s="10" t="s">
        <v>480</v>
      </c>
      <c r="I92" s="10" t="s">
        <v>308</v>
      </c>
      <c r="J92" s="10" t="s">
        <v>310</v>
      </c>
      <c r="K92" s="10" t="s">
        <v>546</v>
      </c>
      <c r="L92" s="10" t="s">
        <v>284</v>
      </c>
      <c r="M92" s="10" t="s">
        <v>497</v>
      </c>
      <c r="N92" s="10" t="s">
        <v>244</v>
      </c>
      <c r="O92" s="24" t="n">
        <v>618000</v>
      </c>
    </row>
    <row r="93" customFormat="false" ht="15" hidden="false" customHeight="false" outlineLevel="0" collapsed="false">
      <c r="A93" s="10" t="s">
        <v>622</v>
      </c>
      <c r="B93" s="11" t="n">
        <v>46124</v>
      </c>
      <c r="C93" s="10" t="s">
        <v>571</v>
      </c>
      <c r="D93" s="10" t="s">
        <v>462</v>
      </c>
      <c r="E93" s="10" t="s">
        <v>463</v>
      </c>
      <c r="F93" s="24" t="n">
        <v>11</v>
      </c>
      <c r="G93" s="10" t="s">
        <v>128</v>
      </c>
      <c r="H93" s="10" t="s">
        <v>464</v>
      </c>
      <c r="I93" s="10" t="s">
        <v>472</v>
      </c>
      <c r="J93" s="10" t="s">
        <v>293</v>
      </c>
      <c r="K93" s="10" t="s">
        <v>359</v>
      </c>
      <c r="L93" s="10" t="s">
        <v>354</v>
      </c>
      <c r="M93" s="10" t="s">
        <v>467</v>
      </c>
      <c r="N93" s="10" t="s">
        <v>428</v>
      </c>
      <c r="O93" s="24" t="n">
        <v>1010800</v>
      </c>
    </row>
    <row r="94" customFormat="false" ht="15" hidden="false" customHeight="false" outlineLevel="0" collapsed="false">
      <c r="A94" s="10" t="s">
        <v>623</v>
      </c>
      <c r="B94" s="11" t="n">
        <v>46128</v>
      </c>
      <c r="C94" s="10" t="s">
        <v>556</v>
      </c>
      <c r="D94" s="10" t="s">
        <v>485</v>
      </c>
      <c r="E94" s="10" t="s">
        <v>557</v>
      </c>
      <c r="F94" s="24" t="n">
        <v>24</v>
      </c>
      <c r="G94" s="10" t="s">
        <v>128</v>
      </c>
      <c r="H94" s="10" t="s">
        <v>471</v>
      </c>
      <c r="I94" s="10" t="s">
        <v>472</v>
      </c>
      <c r="J94" s="10" t="s">
        <v>293</v>
      </c>
      <c r="K94" s="10" t="s">
        <v>345</v>
      </c>
      <c r="L94" s="10" t="s">
        <v>276</v>
      </c>
      <c r="M94" s="10" t="s">
        <v>486</v>
      </c>
      <c r="N94" s="10" t="s">
        <v>428</v>
      </c>
      <c r="O94" s="24" t="n">
        <v>294100</v>
      </c>
    </row>
    <row r="95" customFormat="false" ht="15" hidden="false" customHeight="false" outlineLevel="0" collapsed="false">
      <c r="A95" s="10" t="s">
        <v>624</v>
      </c>
      <c r="B95" s="11" t="n">
        <v>46131</v>
      </c>
      <c r="C95" s="10" t="s">
        <v>574</v>
      </c>
      <c r="D95" s="10" t="s">
        <v>478</v>
      </c>
      <c r="E95" s="10" t="s">
        <v>575</v>
      </c>
      <c r="F95" s="24" t="n">
        <v>13</v>
      </c>
      <c r="G95" s="10" t="s">
        <v>111</v>
      </c>
      <c r="H95" s="10" t="s">
        <v>480</v>
      </c>
      <c r="I95" s="10" t="s">
        <v>308</v>
      </c>
      <c r="J95" s="10" t="s">
        <v>310</v>
      </c>
      <c r="K95" s="10" t="s">
        <v>359</v>
      </c>
      <c r="L95" s="10" t="s">
        <v>354</v>
      </c>
      <c r="M95" s="10" t="s">
        <v>533</v>
      </c>
      <c r="N95" s="10" t="s">
        <v>286</v>
      </c>
      <c r="O95" s="24" t="n">
        <v>61500</v>
      </c>
    </row>
    <row r="96" customFormat="false" ht="15" hidden="false" customHeight="false" outlineLevel="0" collapsed="false">
      <c r="A96" s="10" t="s">
        <v>625</v>
      </c>
      <c r="B96" s="11" t="n">
        <v>46131</v>
      </c>
      <c r="C96" s="10" t="s">
        <v>469</v>
      </c>
      <c r="D96" s="10" t="s">
        <v>462</v>
      </c>
      <c r="E96" s="10" t="s">
        <v>470</v>
      </c>
      <c r="F96" s="24" t="n">
        <v>14</v>
      </c>
      <c r="G96" s="10" t="s">
        <v>128</v>
      </c>
      <c r="H96" s="10" t="s">
        <v>471</v>
      </c>
      <c r="I96" s="10" t="s">
        <v>308</v>
      </c>
      <c r="J96" s="10" t="s">
        <v>310</v>
      </c>
      <c r="K96" s="10" t="s">
        <v>328</v>
      </c>
      <c r="L96" s="10" t="s">
        <v>269</v>
      </c>
      <c r="M96" s="10" t="s">
        <v>533</v>
      </c>
      <c r="N96" s="10" t="s">
        <v>475</v>
      </c>
      <c r="O96" s="24" t="n">
        <v>4563600</v>
      </c>
    </row>
    <row r="97" customFormat="false" ht="15" hidden="false" customHeight="false" outlineLevel="0" collapsed="false">
      <c r="A97" s="10" t="s">
        <v>626</v>
      </c>
      <c r="B97" s="11" t="n">
        <v>46138</v>
      </c>
      <c r="C97" s="10" t="s">
        <v>469</v>
      </c>
      <c r="D97" s="10" t="s">
        <v>462</v>
      </c>
      <c r="E97" s="10" t="s">
        <v>470</v>
      </c>
      <c r="F97" s="24" t="n">
        <v>13</v>
      </c>
      <c r="G97" s="10" t="s">
        <v>128</v>
      </c>
      <c r="H97" s="10" t="s">
        <v>471</v>
      </c>
      <c r="I97" s="10" t="s">
        <v>466</v>
      </c>
      <c r="J97" s="10" t="s">
        <v>276</v>
      </c>
      <c r="K97" s="10" t="s">
        <v>515</v>
      </c>
      <c r="L97" s="10" t="s">
        <v>372</v>
      </c>
      <c r="M97" s="10" t="s">
        <v>497</v>
      </c>
      <c r="N97" s="10" t="s">
        <v>475</v>
      </c>
      <c r="O97" s="24" t="n">
        <v>5587500</v>
      </c>
    </row>
    <row r="98" customFormat="false" ht="15" hidden="false" customHeight="false" outlineLevel="0" collapsed="false">
      <c r="A98" s="10" t="s">
        <v>627</v>
      </c>
      <c r="B98" s="11" t="n">
        <v>46138</v>
      </c>
      <c r="C98" s="10" t="s">
        <v>488</v>
      </c>
      <c r="D98" s="10" t="s">
        <v>489</v>
      </c>
      <c r="E98" s="10" t="s">
        <v>490</v>
      </c>
      <c r="F98" s="24" t="n">
        <v>22</v>
      </c>
      <c r="G98" s="10" t="s">
        <v>104</v>
      </c>
      <c r="H98" s="10" t="s">
        <v>480</v>
      </c>
      <c r="I98" s="10" t="s">
        <v>513</v>
      </c>
      <c r="J98" s="10" t="s">
        <v>284</v>
      </c>
      <c r="K98" s="10" t="s">
        <v>581</v>
      </c>
      <c r="L98" s="10" t="s">
        <v>389</v>
      </c>
      <c r="M98" s="10" t="s">
        <v>533</v>
      </c>
      <c r="N98" s="10" t="s">
        <v>244</v>
      </c>
      <c r="O98" s="24" t="n">
        <v>121900</v>
      </c>
    </row>
    <row r="99" customFormat="false" ht="15" hidden="false" customHeight="false" outlineLevel="0" collapsed="false">
      <c r="A99" s="10" t="s">
        <v>628</v>
      </c>
      <c r="B99" s="11" t="n">
        <v>46138</v>
      </c>
      <c r="C99" s="10" t="s">
        <v>469</v>
      </c>
      <c r="D99" s="10" t="s">
        <v>462</v>
      </c>
      <c r="E99" s="10" t="s">
        <v>470</v>
      </c>
      <c r="F99" s="24" t="n">
        <v>15</v>
      </c>
      <c r="G99" s="10" t="s">
        <v>128</v>
      </c>
      <c r="H99" s="10" t="s">
        <v>464</v>
      </c>
      <c r="I99" s="10" t="s">
        <v>529</v>
      </c>
      <c r="J99" s="10" t="s">
        <v>262</v>
      </c>
      <c r="K99" s="10" t="s">
        <v>345</v>
      </c>
      <c r="L99" s="10" t="s">
        <v>276</v>
      </c>
      <c r="M99" s="10" t="s">
        <v>497</v>
      </c>
      <c r="N99" s="10" t="s">
        <v>475</v>
      </c>
      <c r="O99" s="24" t="n">
        <v>6618700</v>
      </c>
    </row>
    <row r="100" customFormat="false" ht="15" hidden="false" customHeight="false" outlineLevel="0" collapsed="false">
      <c r="A100" s="10" t="s">
        <v>629</v>
      </c>
      <c r="B100" s="11" t="n">
        <v>46140</v>
      </c>
      <c r="C100" s="10" t="s">
        <v>519</v>
      </c>
      <c r="D100" s="10" t="s">
        <v>489</v>
      </c>
      <c r="E100" s="10" t="s">
        <v>479</v>
      </c>
      <c r="F100" s="24" t="n">
        <v>13</v>
      </c>
      <c r="G100" s="10" t="s">
        <v>104</v>
      </c>
      <c r="H100" s="10" t="s">
        <v>503</v>
      </c>
      <c r="I100" s="10" t="s">
        <v>465</v>
      </c>
      <c r="J100" s="10" t="s">
        <v>269</v>
      </c>
      <c r="K100" s="10" t="s">
        <v>591</v>
      </c>
      <c r="L100" s="10" t="s">
        <v>377</v>
      </c>
      <c r="M100" s="10" t="s">
        <v>482</v>
      </c>
      <c r="N100" s="10" t="s">
        <v>244</v>
      </c>
      <c r="O100" s="24" t="n">
        <v>158700</v>
      </c>
    </row>
    <row r="101" customFormat="false" ht="15" hidden="false" customHeight="false" outlineLevel="0" collapsed="false">
      <c r="A101" s="10" t="s">
        <v>630</v>
      </c>
      <c r="B101" s="11" t="n">
        <v>46144</v>
      </c>
      <c r="C101" s="10" t="s">
        <v>469</v>
      </c>
      <c r="D101" s="10" t="s">
        <v>462</v>
      </c>
      <c r="E101" s="10" t="s">
        <v>470</v>
      </c>
      <c r="F101" s="24" t="n">
        <v>13</v>
      </c>
      <c r="G101" s="10" t="s">
        <v>128</v>
      </c>
      <c r="H101" s="10" t="s">
        <v>464</v>
      </c>
      <c r="I101" s="10" t="s">
        <v>465</v>
      </c>
      <c r="J101" s="10" t="s">
        <v>269</v>
      </c>
      <c r="K101" s="10" t="s">
        <v>308</v>
      </c>
      <c r="L101" s="10" t="s">
        <v>310</v>
      </c>
      <c r="M101" s="10" t="s">
        <v>497</v>
      </c>
      <c r="N101" s="10" t="s">
        <v>475</v>
      </c>
      <c r="O101" s="24" t="n">
        <v>4751300</v>
      </c>
    </row>
    <row r="102" customFormat="false" ht="15" hidden="false" customHeight="false" outlineLevel="0" collapsed="false">
      <c r="A102" s="10" t="s">
        <v>631</v>
      </c>
      <c r="B102" s="11" t="n">
        <v>46150</v>
      </c>
      <c r="C102" s="10" t="s">
        <v>488</v>
      </c>
      <c r="D102" s="10" t="s">
        <v>489</v>
      </c>
      <c r="E102" s="10" t="s">
        <v>490</v>
      </c>
      <c r="F102" s="24" t="n">
        <v>3</v>
      </c>
      <c r="G102" s="10" t="s">
        <v>111</v>
      </c>
      <c r="H102" s="10" t="s">
        <v>517</v>
      </c>
      <c r="I102" s="10" t="s">
        <v>250</v>
      </c>
      <c r="J102" s="10" t="s">
        <v>240</v>
      </c>
      <c r="K102" s="10" t="s">
        <v>511</v>
      </c>
      <c r="L102" s="10" t="s">
        <v>293</v>
      </c>
      <c r="M102" s="10" t="s">
        <v>497</v>
      </c>
      <c r="N102" s="10" t="s">
        <v>244</v>
      </c>
      <c r="O102" s="24" t="n">
        <v>219100</v>
      </c>
    </row>
    <row r="103" customFormat="false" ht="15" hidden="false" customHeight="false" outlineLevel="0" collapsed="false">
      <c r="A103" s="10" t="s">
        <v>632</v>
      </c>
      <c r="B103" s="11" t="n">
        <v>46155</v>
      </c>
      <c r="C103" s="10" t="s">
        <v>499</v>
      </c>
      <c r="D103" s="10" t="s">
        <v>462</v>
      </c>
      <c r="E103" s="10" t="s">
        <v>500</v>
      </c>
      <c r="F103" s="24" t="n">
        <v>14</v>
      </c>
      <c r="G103" s="10" t="s">
        <v>128</v>
      </c>
      <c r="H103" s="10" t="s">
        <v>464</v>
      </c>
      <c r="I103" s="10" t="s">
        <v>472</v>
      </c>
      <c r="J103" s="10" t="s">
        <v>293</v>
      </c>
      <c r="K103" s="10" t="s">
        <v>546</v>
      </c>
      <c r="L103" s="10" t="s">
        <v>284</v>
      </c>
      <c r="M103" s="10" t="s">
        <v>533</v>
      </c>
      <c r="N103" s="10" t="s">
        <v>428</v>
      </c>
      <c r="O103" s="24" t="n">
        <v>72900</v>
      </c>
    </row>
    <row r="104" customFormat="false" ht="15" hidden="false" customHeight="false" outlineLevel="0" collapsed="false">
      <c r="A104" s="10" t="s">
        <v>633</v>
      </c>
      <c r="B104" s="11" t="n">
        <v>46157</v>
      </c>
      <c r="C104" s="10" t="s">
        <v>542</v>
      </c>
      <c r="D104" s="10" t="s">
        <v>489</v>
      </c>
      <c r="E104" s="10" t="s">
        <v>479</v>
      </c>
      <c r="F104" s="24" t="n">
        <v>7</v>
      </c>
      <c r="G104" s="10" t="s">
        <v>128</v>
      </c>
      <c r="H104" s="10" t="s">
        <v>464</v>
      </c>
      <c r="I104" s="10" t="s">
        <v>237</v>
      </c>
      <c r="J104" s="10" t="s">
        <v>240</v>
      </c>
      <c r="K104" s="10" t="s">
        <v>323</v>
      </c>
      <c r="L104" s="10" t="s">
        <v>276</v>
      </c>
      <c r="M104" s="10" t="s">
        <v>482</v>
      </c>
      <c r="N104" s="10" t="s">
        <v>244</v>
      </c>
      <c r="O104" s="24" t="n">
        <v>170500</v>
      </c>
    </row>
    <row r="105" customFormat="false" ht="15" hidden="false" customHeight="false" outlineLevel="0" collapsed="false">
      <c r="A105" s="10" t="s">
        <v>634</v>
      </c>
      <c r="B105" s="11" t="n">
        <v>46157</v>
      </c>
      <c r="C105" s="10" t="s">
        <v>506</v>
      </c>
      <c r="D105" s="10" t="s">
        <v>485</v>
      </c>
      <c r="E105" s="10" t="s">
        <v>507</v>
      </c>
      <c r="F105" s="24" t="n">
        <v>2</v>
      </c>
      <c r="G105" s="10" t="s">
        <v>111</v>
      </c>
      <c r="H105" s="10" t="s">
        <v>517</v>
      </c>
      <c r="I105" s="10" t="s">
        <v>237</v>
      </c>
      <c r="J105" s="10" t="s">
        <v>240</v>
      </c>
      <c r="K105" s="10" t="s">
        <v>430</v>
      </c>
      <c r="L105" s="10" t="s">
        <v>433</v>
      </c>
      <c r="M105" s="10" t="s">
        <v>467</v>
      </c>
      <c r="N105" s="10" t="s">
        <v>428</v>
      </c>
      <c r="O105" s="24" t="n">
        <v>1344300</v>
      </c>
    </row>
    <row r="106" customFormat="false" ht="15" hidden="false" customHeight="false" outlineLevel="0" collapsed="false">
      <c r="A106" s="10" t="s">
        <v>635</v>
      </c>
      <c r="B106" s="11" t="n">
        <v>46158</v>
      </c>
      <c r="C106" s="10" t="s">
        <v>506</v>
      </c>
      <c r="D106" s="10" t="s">
        <v>485</v>
      </c>
      <c r="E106" s="10" t="s">
        <v>507</v>
      </c>
      <c r="F106" s="24" t="n">
        <v>5</v>
      </c>
      <c r="G106" s="10" t="s">
        <v>104</v>
      </c>
      <c r="H106" s="10" t="s">
        <v>496</v>
      </c>
      <c r="I106" s="10" t="s">
        <v>466</v>
      </c>
      <c r="J106" s="10" t="s">
        <v>276</v>
      </c>
      <c r="K106" s="10" t="s">
        <v>328</v>
      </c>
      <c r="L106" s="10" t="s">
        <v>269</v>
      </c>
      <c r="M106" s="10" t="s">
        <v>497</v>
      </c>
      <c r="N106" s="10" t="s">
        <v>428</v>
      </c>
      <c r="O106" s="24" t="n">
        <v>1866200</v>
      </c>
    </row>
    <row r="107" customFormat="false" ht="15" hidden="false" customHeight="false" outlineLevel="0" collapsed="false">
      <c r="A107" s="10" t="s">
        <v>636</v>
      </c>
      <c r="B107" s="11" t="n">
        <v>46159</v>
      </c>
      <c r="C107" s="10" t="s">
        <v>574</v>
      </c>
      <c r="D107" s="10" t="s">
        <v>478</v>
      </c>
      <c r="E107" s="10" t="s">
        <v>575</v>
      </c>
      <c r="F107" s="24" t="n">
        <v>21</v>
      </c>
      <c r="G107" s="10" t="s">
        <v>111</v>
      </c>
      <c r="H107" s="10" t="s">
        <v>517</v>
      </c>
      <c r="I107" s="10" t="s">
        <v>250</v>
      </c>
      <c r="J107" s="10" t="s">
        <v>240</v>
      </c>
      <c r="K107" s="10" t="s">
        <v>481</v>
      </c>
      <c r="L107" s="10" t="s">
        <v>419</v>
      </c>
      <c r="M107" s="10" t="s">
        <v>467</v>
      </c>
      <c r="N107" s="10" t="s">
        <v>286</v>
      </c>
      <c r="O107" s="24" t="n">
        <v>58500</v>
      </c>
    </row>
    <row r="108" customFormat="false" ht="15" hidden="false" customHeight="false" outlineLevel="0" collapsed="false">
      <c r="A108" s="10" t="s">
        <v>637</v>
      </c>
      <c r="B108" s="11" t="n">
        <v>46160</v>
      </c>
      <c r="C108" s="10" t="s">
        <v>556</v>
      </c>
      <c r="D108" s="10" t="s">
        <v>485</v>
      </c>
      <c r="E108" s="10" t="s">
        <v>557</v>
      </c>
      <c r="F108" s="24" t="n">
        <v>26</v>
      </c>
      <c r="G108" s="10" t="s">
        <v>104</v>
      </c>
      <c r="H108" s="10" t="s">
        <v>503</v>
      </c>
      <c r="I108" s="10" t="s">
        <v>237</v>
      </c>
      <c r="J108" s="10" t="s">
        <v>240</v>
      </c>
      <c r="K108" s="10" t="s">
        <v>581</v>
      </c>
      <c r="L108" s="10" t="s">
        <v>389</v>
      </c>
      <c r="M108" s="10" t="s">
        <v>474</v>
      </c>
      <c r="N108" s="10" t="s">
        <v>428</v>
      </c>
      <c r="O108" s="24" t="n">
        <v>780400</v>
      </c>
    </row>
    <row r="109" customFormat="false" ht="15" hidden="false" customHeight="false" outlineLevel="0" collapsed="false">
      <c r="A109" s="10" t="s">
        <v>638</v>
      </c>
      <c r="B109" s="11" t="n">
        <v>46161</v>
      </c>
      <c r="C109" s="10" t="s">
        <v>553</v>
      </c>
      <c r="D109" s="10" t="s">
        <v>495</v>
      </c>
      <c r="E109" s="10" t="s">
        <v>554</v>
      </c>
      <c r="F109" s="24" t="n">
        <v>19</v>
      </c>
      <c r="G109" s="10" t="s">
        <v>104</v>
      </c>
      <c r="H109" s="10" t="s">
        <v>496</v>
      </c>
      <c r="I109" s="10" t="s">
        <v>513</v>
      </c>
      <c r="J109" s="10" t="s">
        <v>284</v>
      </c>
      <c r="K109" s="10" t="s">
        <v>568</v>
      </c>
      <c r="L109" s="10" t="s">
        <v>367</v>
      </c>
      <c r="M109" s="10" t="s">
        <v>533</v>
      </c>
      <c r="N109" s="10" t="s">
        <v>286</v>
      </c>
      <c r="O109" s="24" t="n">
        <v>31200</v>
      </c>
    </row>
    <row r="110" customFormat="false" ht="15" hidden="false" customHeight="false" outlineLevel="0" collapsed="false">
      <c r="A110" s="10" t="s">
        <v>639</v>
      </c>
      <c r="B110" s="11" t="n">
        <v>46161</v>
      </c>
      <c r="C110" s="10" t="s">
        <v>574</v>
      </c>
      <c r="D110" s="10" t="s">
        <v>478</v>
      </c>
      <c r="E110" s="10" t="s">
        <v>575</v>
      </c>
      <c r="F110" s="24" t="n">
        <v>3</v>
      </c>
      <c r="G110" s="10" t="s">
        <v>104</v>
      </c>
      <c r="H110" s="10" t="s">
        <v>480</v>
      </c>
      <c r="I110" s="10" t="s">
        <v>237</v>
      </c>
      <c r="J110" s="10" t="s">
        <v>240</v>
      </c>
      <c r="K110" s="10" t="s">
        <v>338</v>
      </c>
      <c r="L110" s="10" t="s">
        <v>262</v>
      </c>
      <c r="M110" s="10" t="s">
        <v>486</v>
      </c>
      <c r="N110" s="10" t="s">
        <v>286</v>
      </c>
      <c r="O110" s="24" t="n">
        <v>62000</v>
      </c>
    </row>
    <row r="111" customFormat="false" ht="15" hidden="false" customHeight="false" outlineLevel="0" collapsed="false">
      <c r="A111" s="10" t="s">
        <v>640</v>
      </c>
      <c r="B111" s="11" t="n">
        <v>46162</v>
      </c>
      <c r="C111" s="10" t="s">
        <v>506</v>
      </c>
      <c r="D111" s="10" t="s">
        <v>485</v>
      </c>
      <c r="E111" s="10" t="s">
        <v>507</v>
      </c>
      <c r="F111" s="24" t="n">
        <v>24</v>
      </c>
      <c r="G111" s="10" t="s">
        <v>104</v>
      </c>
      <c r="H111" s="10" t="s">
        <v>496</v>
      </c>
      <c r="I111" s="10" t="s">
        <v>513</v>
      </c>
      <c r="J111" s="10" t="s">
        <v>284</v>
      </c>
      <c r="K111" s="10" t="s">
        <v>515</v>
      </c>
      <c r="L111" s="10" t="s">
        <v>372</v>
      </c>
      <c r="M111" s="10" t="s">
        <v>467</v>
      </c>
      <c r="N111" s="10" t="s">
        <v>428</v>
      </c>
      <c r="O111" s="24" t="n">
        <v>1553200</v>
      </c>
    </row>
    <row r="112" customFormat="false" ht="15" hidden="false" customHeight="false" outlineLevel="0" collapsed="false">
      <c r="A112" s="10" t="s">
        <v>641</v>
      </c>
      <c r="B112" s="11" t="n">
        <v>46163</v>
      </c>
      <c r="C112" s="10" t="s">
        <v>542</v>
      </c>
      <c r="D112" s="10" t="s">
        <v>489</v>
      </c>
      <c r="E112" s="10" t="s">
        <v>479</v>
      </c>
      <c r="F112" s="24" t="n">
        <v>17</v>
      </c>
      <c r="G112" s="10" t="s">
        <v>128</v>
      </c>
      <c r="H112" s="10" t="s">
        <v>496</v>
      </c>
      <c r="I112" s="10" t="s">
        <v>529</v>
      </c>
      <c r="J112" s="10" t="s">
        <v>262</v>
      </c>
      <c r="K112" s="10" t="s">
        <v>308</v>
      </c>
      <c r="L112" s="10" t="s">
        <v>310</v>
      </c>
      <c r="M112" s="10" t="s">
        <v>467</v>
      </c>
      <c r="N112" s="10" t="s">
        <v>244</v>
      </c>
      <c r="O112" s="24" t="n">
        <v>160200</v>
      </c>
    </row>
    <row r="113" customFormat="false" ht="15" hidden="false" customHeight="false" outlineLevel="0" collapsed="false">
      <c r="A113" s="10" t="s">
        <v>642</v>
      </c>
      <c r="B113" s="11" t="n">
        <v>46163</v>
      </c>
      <c r="C113" s="10" t="s">
        <v>488</v>
      </c>
      <c r="D113" s="10" t="s">
        <v>489</v>
      </c>
      <c r="E113" s="10" t="s">
        <v>490</v>
      </c>
      <c r="F113" s="24" t="n">
        <v>24</v>
      </c>
      <c r="G113" s="10" t="s">
        <v>104</v>
      </c>
      <c r="H113" s="10" t="s">
        <v>480</v>
      </c>
      <c r="I113" s="10" t="s">
        <v>529</v>
      </c>
      <c r="J113" s="10" t="s">
        <v>262</v>
      </c>
      <c r="K113" s="10" t="s">
        <v>548</v>
      </c>
      <c r="L113" s="10" t="s">
        <v>395</v>
      </c>
      <c r="M113" s="10" t="s">
        <v>467</v>
      </c>
      <c r="N113" s="10" t="s">
        <v>244</v>
      </c>
      <c r="O113" s="24" t="n">
        <v>163000</v>
      </c>
    </row>
    <row r="114" customFormat="false" ht="15" hidden="false" customHeight="false" outlineLevel="0" collapsed="false">
      <c r="A114" s="10" t="s">
        <v>643</v>
      </c>
      <c r="B114" s="11" t="n">
        <v>46176</v>
      </c>
      <c r="C114" s="10" t="s">
        <v>502</v>
      </c>
      <c r="D114" s="10" t="s">
        <v>489</v>
      </c>
      <c r="E114" s="10" t="s">
        <v>479</v>
      </c>
      <c r="F114" s="24" t="n">
        <v>15</v>
      </c>
      <c r="G114" s="10" t="s">
        <v>104</v>
      </c>
      <c r="H114" s="10" t="s">
        <v>496</v>
      </c>
      <c r="I114" s="10" t="s">
        <v>465</v>
      </c>
      <c r="J114" s="10" t="s">
        <v>269</v>
      </c>
      <c r="K114" s="10" t="s">
        <v>338</v>
      </c>
      <c r="L114" s="10" t="s">
        <v>262</v>
      </c>
      <c r="M114" s="10" t="s">
        <v>482</v>
      </c>
      <c r="N114" s="10" t="s">
        <v>244</v>
      </c>
      <c r="O114" s="24" t="n">
        <v>233200</v>
      </c>
    </row>
    <row r="115" customFormat="false" ht="15" hidden="false" customHeight="false" outlineLevel="0" collapsed="false">
      <c r="A115" s="10" t="s">
        <v>644</v>
      </c>
      <c r="B115" s="11" t="n">
        <v>46178</v>
      </c>
      <c r="C115" s="10" t="s">
        <v>553</v>
      </c>
      <c r="D115" s="10" t="s">
        <v>495</v>
      </c>
      <c r="E115" s="10" t="s">
        <v>554</v>
      </c>
      <c r="F115" s="24" t="n">
        <v>24</v>
      </c>
      <c r="G115" s="10" t="s">
        <v>128</v>
      </c>
      <c r="H115" s="10" t="s">
        <v>464</v>
      </c>
      <c r="I115" s="10" t="s">
        <v>250</v>
      </c>
      <c r="J115" s="10" t="s">
        <v>240</v>
      </c>
      <c r="K115" s="10" t="s">
        <v>530</v>
      </c>
      <c r="L115" s="10" t="s">
        <v>401</v>
      </c>
      <c r="M115" s="10" t="s">
        <v>474</v>
      </c>
      <c r="N115" s="10" t="s">
        <v>286</v>
      </c>
      <c r="O115" s="24" t="n">
        <v>44500</v>
      </c>
    </row>
    <row r="116" customFormat="false" ht="15" hidden="false" customHeight="false" outlineLevel="0" collapsed="false">
      <c r="A116" s="10" t="s">
        <v>645</v>
      </c>
      <c r="B116" s="11" t="n">
        <v>46187</v>
      </c>
      <c r="C116" s="10" t="s">
        <v>502</v>
      </c>
      <c r="D116" s="10" t="s">
        <v>489</v>
      </c>
      <c r="E116" s="10" t="s">
        <v>479</v>
      </c>
      <c r="F116" s="24" t="n">
        <v>11</v>
      </c>
      <c r="G116" s="10" t="s">
        <v>111</v>
      </c>
      <c r="H116" s="10" t="s">
        <v>532</v>
      </c>
      <c r="I116" s="10" t="s">
        <v>465</v>
      </c>
      <c r="J116" s="10" t="s">
        <v>269</v>
      </c>
      <c r="K116" s="10" t="s">
        <v>359</v>
      </c>
      <c r="L116" s="10" t="s">
        <v>354</v>
      </c>
      <c r="M116" s="10" t="s">
        <v>533</v>
      </c>
      <c r="N116" s="10" t="s">
        <v>244</v>
      </c>
      <c r="O116" s="24" t="n">
        <v>253700</v>
      </c>
    </row>
    <row r="117" customFormat="false" ht="15" hidden="false" customHeight="false" outlineLevel="0" collapsed="false">
      <c r="A117" s="10" t="s">
        <v>646</v>
      </c>
      <c r="B117" s="11" t="n">
        <v>46189</v>
      </c>
      <c r="C117" s="10" t="s">
        <v>540</v>
      </c>
      <c r="D117" s="10" t="s">
        <v>478</v>
      </c>
      <c r="E117" s="10" t="s">
        <v>479</v>
      </c>
      <c r="F117" s="24" t="n">
        <v>13</v>
      </c>
      <c r="G117" s="10" t="s">
        <v>104</v>
      </c>
      <c r="H117" s="10" t="s">
        <v>496</v>
      </c>
      <c r="I117" s="10" t="s">
        <v>465</v>
      </c>
      <c r="J117" s="10" t="s">
        <v>269</v>
      </c>
      <c r="K117" s="10" t="s">
        <v>504</v>
      </c>
      <c r="L117" s="10" t="s">
        <v>384</v>
      </c>
      <c r="M117" s="10" t="s">
        <v>486</v>
      </c>
      <c r="N117" s="10" t="s">
        <v>286</v>
      </c>
      <c r="O117" s="24" t="n">
        <v>144700</v>
      </c>
    </row>
    <row r="118" customFormat="false" ht="15" hidden="false" customHeight="false" outlineLevel="0" collapsed="false">
      <c r="A118" s="10" t="s">
        <v>647</v>
      </c>
      <c r="B118" s="11" t="n">
        <v>46191</v>
      </c>
      <c r="C118" s="10" t="s">
        <v>519</v>
      </c>
      <c r="D118" s="10" t="s">
        <v>489</v>
      </c>
      <c r="E118" s="10" t="s">
        <v>479</v>
      </c>
      <c r="F118" s="24" t="n">
        <v>15</v>
      </c>
      <c r="G118" s="10" t="s">
        <v>104</v>
      </c>
      <c r="H118" s="10" t="s">
        <v>503</v>
      </c>
      <c r="I118" s="10" t="s">
        <v>513</v>
      </c>
      <c r="J118" s="10" t="s">
        <v>284</v>
      </c>
      <c r="K118" s="10" t="s">
        <v>515</v>
      </c>
      <c r="L118" s="10" t="s">
        <v>372</v>
      </c>
      <c r="M118" s="10" t="s">
        <v>474</v>
      </c>
      <c r="N118" s="10" t="s">
        <v>244</v>
      </c>
      <c r="O118" s="24" t="n">
        <v>222300</v>
      </c>
    </row>
    <row r="119" customFormat="false" ht="15" hidden="false" customHeight="false" outlineLevel="0" collapsed="false">
      <c r="A119" s="10" t="s">
        <v>648</v>
      </c>
      <c r="B119" s="11" t="n">
        <v>46193</v>
      </c>
      <c r="C119" s="10" t="s">
        <v>542</v>
      </c>
      <c r="D119" s="10" t="s">
        <v>489</v>
      </c>
      <c r="E119" s="10" t="s">
        <v>479</v>
      </c>
      <c r="F119" s="24" t="n">
        <v>25</v>
      </c>
      <c r="G119" s="10" t="s">
        <v>128</v>
      </c>
      <c r="H119" s="10" t="s">
        <v>496</v>
      </c>
      <c r="I119" s="10" t="s">
        <v>308</v>
      </c>
      <c r="J119" s="10" t="s">
        <v>310</v>
      </c>
      <c r="K119" s="10" t="s">
        <v>345</v>
      </c>
      <c r="L119" s="10" t="s">
        <v>276</v>
      </c>
      <c r="M119" s="10" t="s">
        <v>533</v>
      </c>
      <c r="N119" s="10" t="s">
        <v>244</v>
      </c>
      <c r="O119" s="24" t="n">
        <v>36200</v>
      </c>
    </row>
    <row r="120" customFormat="false" ht="15" hidden="false" customHeight="false" outlineLevel="0" collapsed="false">
      <c r="A120" s="10" t="s">
        <v>649</v>
      </c>
      <c r="B120" s="11" t="n">
        <v>46193</v>
      </c>
      <c r="C120" s="10" t="s">
        <v>519</v>
      </c>
      <c r="D120" s="10" t="s">
        <v>489</v>
      </c>
      <c r="E120" s="10" t="s">
        <v>479</v>
      </c>
      <c r="F120" s="24" t="n">
        <v>11</v>
      </c>
      <c r="G120" s="10" t="s">
        <v>111</v>
      </c>
      <c r="H120" s="10" t="s">
        <v>517</v>
      </c>
      <c r="I120" s="10" t="s">
        <v>513</v>
      </c>
      <c r="J120" s="10" t="s">
        <v>284</v>
      </c>
      <c r="K120" s="10" t="s">
        <v>546</v>
      </c>
      <c r="L120" s="10" t="s">
        <v>284</v>
      </c>
      <c r="M120" s="10" t="s">
        <v>482</v>
      </c>
      <c r="N120" s="10" t="s">
        <v>244</v>
      </c>
      <c r="O120" s="24" t="n">
        <v>147800</v>
      </c>
    </row>
    <row r="121" customFormat="false" ht="15" hidden="false" customHeight="false" outlineLevel="0" collapsed="false">
      <c r="A121" s="10" t="s">
        <v>650</v>
      </c>
      <c r="B121" s="11" t="n">
        <v>46198</v>
      </c>
      <c r="C121" s="10" t="s">
        <v>553</v>
      </c>
      <c r="D121" s="10" t="s">
        <v>495</v>
      </c>
      <c r="E121" s="10" t="s">
        <v>554</v>
      </c>
      <c r="F121" s="24" t="n">
        <v>3</v>
      </c>
      <c r="G121" s="10" t="s">
        <v>111</v>
      </c>
      <c r="H121" s="10" t="s">
        <v>532</v>
      </c>
      <c r="I121" s="10" t="s">
        <v>465</v>
      </c>
      <c r="J121" s="10" t="s">
        <v>269</v>
      </c>
      <c r="K121" s="10" t="s">
        <v>430</v>
      </c>
      <c r="L121" s="10" t="s">
        <v>433</v>
      </c>
      <c r="M121" s="10" t="s">
        <v>482</v>
      </c>
      <c r="N121" s="10" t="s">
        <v>286</v>
      </c>
      <c r="O121" s="24" t="n">
        <v>66300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2026-08-10T13:27:24Z</dcterms:created>
  <dc:creator>openpyxl</dc:creator>
  <dc:description/>
  <dc:language>en-BS</dc:language>
  <cp:lastModifiedBy/>
  <dcterms:modified xsi:type="dcterms:W3CDTF">2026-08-10T10:47:12Z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